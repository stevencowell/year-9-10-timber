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cc92ab9e7a432c" /></Relationships>
</file>

<file path=xl/workbook.xml><?xml version="1.0" encoding="utf-8"?>
<x:workbook xmlns:x="http://schemas.openxmlformats.org/spreadsheetml/2006/main">
  <x:sheets>
    <x:sheet xmlns:r="http://schemas.openxmlformats.org/officeDocument/2006/relationships" name="Overview &amp; Legend" sheetId="1" r:id="R3050c553c5ec4515"/>
    <x:sheet xmlns:r="http://schemas.openxmlformats.org/officeDocument/2006/relationships" name="Syllabus Alignment Matrix" sheetId="2" r:id="Rec065f48f56a4759"/>
    <x:sheet xmlns:r="http://schemas.openxmlformats.org/officeDocument/2006/relationships" name="Project Evidence" sheetId="3" r:id="Rcf2d1e2ccf0b4209"/>
    <x:sheet xmlns:r="http://schemas.openxmlformats.org/officeDocument/2006/relationships" name="Source Register" sheetId="4" r:id="R64472fad00504fd2"/>
    <x:sheet xmlns:r="http://schemas.openxmlformats.org/officeDocument/2006/relationships" name="Gap Register" sheetId="5" r:id="R19c9f586a4854577"/>
    <x:sheet xmlns:r="http://schemas.openxmlformats.org/officeDocument/2006/relationships" name="Current Syllabus Summary" sheetId="6" r:id="R5501f87d503b454e"/>
    <x:sheet xmlns:r="http://schemas.openxmlformats.org/officeDocument/2006/relationships" name="Current Program Content Map" sheetId="7" r:id="R21aa6e97873b4052"/>
  </x:sheets>
</x:workbook>
</file>

<file path=xl/sharedStrings.xml><?xml version="1.0" encoding="utf-8"?>
<x:sst xmlns:x="http://schemas.openxmlformats.org/spreadsheetml/2006/main"/>
</file>

<file path=xl/styles.xml><?xml version="1.0" encoding="utf-8"?>
<x:styleSheet xmlns:x="http://schemas.openxmlformats.org/spreadsheetml/2006/main">
  <x:fonts count="25">
    <x:font>
      <x:sz val="11"/>
      <x:name val="Carlito"/>
    </x:font>
    <x:font>
      <x:b/>
      <x:sz val="20"/>
      <x:color rgb="FFFFFFFF"/>
      <x:name val="Aptos Display"/>
    </x:font>
    <x:font>
      <x:i/>
      <x:sz val="10"/>
      <x:color rgb="FF5E6B65"/>
      <x:name val="Aptos"/>
    </x:font>
    <x:font>
      <x:b/>
      <x:sz val="11"/>
      <x:color rgb="FFFFFFFF"/>
      <x:name val="Carlito"/>
    </x:font>
    <x:font>
      <x:b/>
      <x:sz val="11"/>
      <x:color rgb="FF10372B"/>
      <x:name val="Carlito"/>
    </x:font>
    <x:font>
      <x:sz val="11"/>
      <x:color rgb="FF21302A"/>
      <x:name val="Carlito"/>
    </x:font>
    <x:font>
      <x:b/>
      <x:i/>
      <x:sz val="11"/>
      <x:color rgb="FF5E6B65"/>
      <x:name val="Carlito"/>
    </x:font>
    <x:font>
      <x:i/>
      <x:sz val="11"/>
      <x:color rgb="FF5E6B65"/>
      <x:name val="Carlito"/>
    </x:font>
    <x:font>
      <x:b/>
      <x:sz val="18"/>
      <x:color rgb="FFFFFFFF"/>
      <x:name val="Carlito"/>
    </x:font>
    <x:font>
      <x:sz val="11"/>
      <x:color rgb="FF20332B"/>
      <x:name val="Carlito"/>
    </x:font>
    <x:font>
      <x:b/>
      <x:sz val="11"/>
      <x:color rgb="FF154734"/>
      <x:name val="Carlito"/>
    </x:font>
    <x:font>
      <x:i/>
      <x:sz val="11"/>
      <x:color rgb="FF52645D"/>
      <x:name val="Carlito"/>
    </x:font>
    <x:font>
      <x:b/>
      <x:sz val="11"/>
      <x:color rgb="FF0E3B2B"/>
      <x:name val="Carlito"/>
    </x:font>
    <x:font>
      <x:b/>
      <x:i/>
      <x:sz val="11"/>
      <x:color rgb="FF52645D"/>
      <x:name val="Carlito"/>
    </x:font>
    <x:font>
      <x:b/>
      <x:sz val="11"/>
      <x:color rgb="FF20332B"/>
      <x:name val="Carlito"/>
    </x:font>
    <x:font>
      <x:i/>
      <x:sz val="10"/>
      <x:color rgb="FF52645D"/>
      <x:name val="Aptos"/>
    </x:font>
    <x:font>
      <x:b/>
      <x:sz val="9"/>
      <x:color rgb="FF9C2B24"/>
      <x:name val="Carlito"/>
    </x:font>
    <x:font>
      <x:b/>
      <x:sz val="9"/>
      <x:color rgb="FF52645D"/>
      <x:name val="Carlito"/>
    </x:font>
    <x:font>
      <x:b/>
      <x:sz val="11"/>
      <x:color rgb="FF52645D"/>
      <x:name val="Carlito"/>
    </x:font>
    <x:font>
      <x:sz val="11"/>
      <x:color rgb="FF52645D"/>
      <x:name val="Carlito"/>
    </x:font>
    <x:font>
      <x:b/>
      <x:sz val="11"/>
      <x:color rgb="FF9C2B24"/>
      <x:name val="Carlito"/>
    </x:font>
    <x:font>
      <x:sz val="9"/>
      <x:color rgb="FF20332B"/>
      <x:name val="Carlito"/>
    </x:font>
    <x:font>
      <x:b/>
      <x:sz val="9"/>
      <x:color rgb="FF0E3B2B"/>
      <x:name val="Carlito"/>
    </x:font>
    <x:font>
      <x:i/>
      <x:sz val="11"/>
      <x:color rgb="FF20332B"/>
      <x:name val="Carlito"/>
    </x:font>
    <x:font>
      <x:b/>
      <x:i/>
      <x:sz val="11"/>
      <x:color rgb="FF0E3B2B"/>
      <x:name val="Carlito"/>
    </x:font>
  </x:fonts>
  <x:fills count="35">
    <x:fill>
      <x:patternFill patternType="none"/>
    </x:fill>
    <x:fill>
      <x:patternFill patternType="gray125"/>
    </x:fill>
    <x:fill>
      <x:patternFill patternType="solid">
        <x:fgColor rgb="FF174D3A"/>
      </x:patternFill>
    </x:fill>
    <x:fill>
      <x:patternFill patternType="solid">
        <x:fgColor rgb="FFF7F2E8"/>
      </x:patternFill>
    </x:fill>
    <x:fill>
      <x:patternFill patternType="solid">
        <x:fgColor rgb="FFA86532"/>
      </x:patternFill>
    </x:fill>
    <x:fill>
      <x:patternFill patternType="solid">
        <x:fgColor rgb="FFFFF3D6"/>
      </x:patternFill>
    </x:fill>
    <x:fill>
      <x:patternFill patternType="solid">
        <x:fgColor rgb="FFE8F1EC"/>
      </x:patternFill>
    </x:fill>
    <x:fill>
      <x:patternFill patternType="solid">
        <x:fgColor rgb="FFF2F3F1"/>
      </x:patternFill>
    </x:fill>
    <x:fill>
      <x:patternFill patternType="solid">
        <x:fgColor rgb="FFEAF2F8"/>
      </x:patternFill>
    </x:fill>
    <x:fill>
      <x:patternFill patternType="solid">
        <x:fgColor rgb="FFFFFFFF"/>
      </x:patternFill>
    </x:fill>
    <x:fill>
      <x:patternFill patternType="solid">
        <x:fgColor rgb="FF154734"/>
      </x:patternFill>
    </x:fill>
    <x:fill>
      <x:patternFill patternType="solid">
        <x:fgColor rgb="FFEAF2F8"/>
      </x:patternFill>
    </x:fill>
    <x:fill>
      <x:patternFill patternType="solid">
        <x:fgColor rgb="FF8A552B"/>
      </x:patternFill>
    </x:fill>
    <x:fill>
      <x:patternFill patternType="solid">
        <x:fgColor rgb="FFFFF2D6"/>
      </x:patternFill>
    </x:fill>
    <x:fill>
      <x:patternFill patternType="solid">
        <x:fgColor rgb="FFE6F0EB"/>
      </x:patternFill>
    </x:fill>
    <x:fill>
      <x:patternFill patternType="solid">
        <x:fgColor rgb="FFF3F5F4"/>
      </x:patternFill>
    </x:fill>
    <x:fill>
      <x:patternFill patternType="solid">
        <x:fgColor rgb="FFF8F3EA"/>
      </x:patternFill>
    </x:fill>
    <x:fill>
      <x:patternFill patternType="solid">
        <x:fgColor rgb="FFA65E2E"/>
      </x:patternFill>
    </x:fill>
    <x:fill>
      <x:patternFill patternType="solid">
        <x:fgColor rgb="FFFFF2D6"/>
      </x:patternFill>
    </x:fill>
    <x:fill>
      <x:patternFill patternType="solid">
        <x:fgColor rgb="FF154734"/>
      </x:patternFill>
    </x:fill>
    <x:fill>
      <x:patternFill patternType="solid">
        <x:fgColor rgb="FFE6F0EB"/>
      </x:patternFill>
    </x:fill>
    <x:fill>
      <x:patternFill patternType="solid">
        <x:fgColor rgb="FFEAF2F8"/>
      </x:patternFill>
    </x:fill>
    <x:fill>
      <x:patternFill patternType="solid">
        <x:fgColor rgb="FFFCE8E6"/>
      </x:patternFill>
    </x:fill>
    <x:fill>
      <x:patternFill patternType="solid">
        <x:fgColor rgb="FFF3F5F4"/>
      </x:patternFill>
    </x:fill>
    <x:fill>
      <x:patternFill patternType="solid">
        <x:fgColor rgb="FFFFF4CC"/>
      </x:patternFill>
    </x:fill>
    <x:fill>
      <x:patternFill patternType="solid">
        <x:fgColor rgb="FFE6F0EB"/>
      </x:patternFill>
    </x:fill>
    <x:fill>
      <x:patternFill patternType="solid">
        <x:fgColor rgb="FFFFF2D6"/>
      </x:patternFill>
    </x:fill>
    <x:fill>
      <x:patternFill patternType="solid">
        <x:fgColor rgb="FFF3F5F4"/>
      </x:patternFill>
    </x:fill>
    <x:fill>
      <x:patternFill patternType="solid">
        <x:fgColor rgb="FFEAF2F8"/>
      </x:patternFill>
    </x:fill>
    <x:fill>
      <x:patternFill patternType="solid">
        <x:fgColor rgb="FFE6F0EB"/>
      </x:patternFill>
    </x:fill>
    <x:fill>
      <x:patternFill patternType="solid">
        <x:fgColor rgb="FFE6F0EB"/>
      </x:patternFill>
    </x:fill>
    <x:fill>
      <x:patternFill patternType="solid">
        <x:fgColor rgb="FFF3F5F4"/>
      </x:patternFill>
    </x:fill>
    <x:fill>
      <x:patternFill patternType="solid">
        <x:fgColor rgb="FFEAF2F8"/>
      </x:patternFill>
    </x:fill>
    <x:fill>
      <x:patternFill patternType="solid">
        <x:fgColor rgb="FFE6F0EB"/>
      </x:patternFill>
    </x:fill>
    <x:fill>
      <x:patternFill patternType="solid">
        <x:fgColor rgb="FFE6F0EB"/>
      </x:patternFill>
    </x:fill>
  </x:fills>
  <x:borders count="30">
    <x:border/>
    <x:border>
      <x:right style="thin">
        <x:color rgb="FFD7D8D2"/>
      </x:right>
      <x:bottom style="thin">
        <x:color rgb="FFD7D8D2"/>
      </x:bottom>
    </x:border>
    <x:border>
      <x:left style="thin">
        <x:color rgb="FFD7D8D2"/>
      </x:left>
      <x:right style="thin">
        <x:color rgb="FFD7D8D2"/>
      </x:right>
      <x:bottom style="thin">
        <x:color rgb="FFD7D8D2"/>
      </x:bottom>
    </x:border>
    <x:border>
      <x:left style="thin">
        <x:color rgb="FFD7D8D2"/>
      </x:left>
      <x:bottom style="thin">
        <x:color rgb="FFD7D8D2"/>
      </x:bottom>
    </x:border>
    <x:border>
      <x:right style="thin">
        <x:color rgb="FFD7D8D2"/>
      </x:right>
      <x:top style="thin">
        <x:color rgb="FFD7D8D2"/>
      </x:top>
      <x:bottom style="thin">
        <x:color rgb="FFD7D8D2"/>
      </x:bottom>
    </x:border>
    <x:border>
      <x:left style="thin">
        <x:color rgb="FFD7D8D2"/>
      </x:left>
      <x:right style="thin">
        <x:color rgb="FFD7D8D2"/>
      </x:right>
      <x:top style="thin">
        <x:color rgb="FFD7D8D2"/>
      </x:top>
      <x:bottom style="thin">
        <x:color rgb="FFD7D8D2"/>
      </x:bottom>
    </x:border>
    <x:border>
      <x:left style="thin">
        <x:color rgb="FFD7D8D2"/>
      </x:left>
      <x:top style="thin">
        <x:color rgb="FFD7D8D2"/>
      </x:top>
      <x:bottom style="thin">
        <x:color rgb="FFD7D8D2"/>
      </x:bottom>
    </x:border>
    <x:border>
      <x:right style="thin">
        <x:color rgb="FFD7D8D2"/>
      </x:right>
      <x:top style="thin">
        <x:color rgb="FFD7D8D2"/>
      </x:top>
    </x:border>
    <x:border>
      <x:left style="thin">
        <x:color rgb="FFD7D8D2"/>
      </x:left>
      <x:right style="thin">
        <x:color rgb="FFD7D8D2"/>
      </x:right>
      <x:top style="thin">
        <x:color rgb="FFD7D8D2"/>
      </x:top>
    </x:border>
    <x:border>
      <x:left style="thin">
        <x:color rgb="FFD7D8D2"/>
      </x:left>
      <x:top style="thin">
        <x:color rgb="FFD7D8D2"/>
      </x:top>
    </x:border>
    <x:border>
      <x:left style="thin">
        <x:color rgb="FF6D8A7E"/>
      </x:left>
      <x:right style="thin">
        <x:color rgb="FF6D8A7E"/>
      </x:right>
      <x:top style="thin">
        <x:color rgb="FF6D8A7E"/>
      </x:top>
      <x:bottom style="thin">
        <x:color rgb="FF6D8A7E"/>
      </x:bottom>
    </x:border>
    <x:border>
      <x:right style="thin">
        <x:color rgb="FFC9D4CE"/>
      </x:right>
      <x:bottom style="thin">
        <x:color rgb="FFC9D4CE"/>
      </x:bottom>
    </x:border>
    <x:border>
      <x:left style="thin">
        <x:color rgb="FFC9D4CE"/>
      </x:left>
      <x:bottom style="thin">
        <x:color rgb="FFC9D4CE"/>
      </x:bottom>
    </x:border>
    <x:border>
      <x:right style="thin">
        <x:color rgb="FFC9D4CE"/>
      </x:right>
      <x:top style="thin">
        <x:color rgb="FFC9D4CE"/>
      </x:top>
      <x:bottom style="thin">
        <x:color rgb="FFC9D4CE"/>
      </x:bottom>
    </x:border>
    <x:border>
      <x:left style="thin">
        <x:color rgb="FFC9D4CE"/>
      </x:left>
      <x:top style="thin">
        <x:color rgb="FFC9D4CE"/>
      </x:top>
      <x:bottom style="thin">
        <x:color rgb="FFC9D4CE"/>
      </x:bottom>
    </x:border>
    <x:border>
      <x:right style="thin">
        <x:color rgb="FFC9D4CE"/>
      </x:right>
      <x:top style="thin">
        <x:color rgb="FFC9D4CE"/>
      </x:top>
    </x:border>
    <x:border>
      <x:left style="thin">
        <x:color rgb="FFC9D4CE"/>
      </x:left>
      <x:top style="thin">
        <x:color rgb="FFC9D4CE"/>
      </x:top>
    </x:border>
    <x:border>
      <x:left style="thin">
        <x:color rgb="FFC9D4CE"/>
      </x:left>
      <x:right style="thin">
        <x:color rgb="FFC9D4CE"/>
      </x:right>
      <x:bottom style="thin">
        <x:color rgb="FFC9D4CE"/>
      </x:bottom>
    </x:border>
    <x:border>
      <x:left style="thin">
        <x:color rgb="FFC9D4CE"/>
      </x:left>
      <x:right style="thin">
        <x:color rgb="FFC9D4CE"/>
      </x:right>
      <x:top style="thin">
        <x:color rgb="FFC9D4CE"/>
      </x:top>
      <x:bottom style="thin">
        <x:color rgb="FFC9D4CE"/>
      </x:bottom>
    </x:border>
    <x:border>
      <x:left style="thin">
        <x:color rgb="FFC9D4CE"/>
      </x:left>
      <x:right style="thin">
        <x:color rgb="FFC9D4CE"/>
      </x:right>
      <x:top style="thin">
        <x:color rgb="FFC9D4CE"/>
      </x:top>
    </x:border>
    <x:border>
      <x:right style="thin">
        <x:color rgb="FFC9D4CE"/>
      </x:right>
      <x:top style="medium">
        <x:color rgb="FF154734"/>
      </x:top>
      <x:bottom style="thin">
        <x:color rgb="FFC9D4CE"/>
      </x:bottom>
    </x:border>
    <x:border>
      <x:left style="thin">
        <x:color rgb="FFC9D4CE"/>
      </x:left>
      <x:right style="thin">
        <x:color rgb="FFC9D4CE"/>
      </x:right>
      <x:top style="medium">
        <x:color rgb="FF154734"/>
      </x:top>
      <x:bottom style="thin">
        <x:color rgb="FFC9D4CE"/>
      </x:bottom>
    </x:border>
    <x:border>
      <x:left style="thin">
        <x:color rgb="FFC9D4CE"/>
      </x:left>
      <x:right style="thin">
        <x:color rgb="FFD7D8D2"/>
      </x:right>
      <x:top style="medium">
        <x:color rgb="FF154734"/>
      </x:top>
      <x:bottom style="thin">
        <x:color rgb="FFC9D4CE"/>
      </x:bottom>
    </x:border>
    <x:border>
      <x:left style="thin">
        <x:color rgb="FFC9D4CE"/>
      </x:left>
      <x:right style="thin">
        <x:color rgb="FFD7D8D2"/>
      </x:right>
      <x:top style="thin">
        <x:color rgb="FFC9D4CE"/>
      </x:top>
      <x:bottom style="thin">
        <x:color rgb="FFC9D4CE"/>
      </x:bottom>
    </x:border>
    <x:border>
      <x:right style="thin">
        <x:color rgb="FFC9D4CE"/>
      </x:right>
      <x:top style="thin">
        <x:color rgb="FFC9D4CE"/>
      </x:top>
      <x:bottom style="thin">
        <x:color rgb="FFD7D8D2"/>
      </x:bottom>
    </x:border>
    <x:border>
      <x:left style="thin">
        <x:color rgb="FFC9D4CE"/>
      </x:left>
      <x:right style="thin">
        <x:color rgb="FFC9D4CE"/>
      </x:right>
      <x:top style="thin">
        <x:color rgb="FFC9D4CE"/>
      </x:top>
      <x:bottom style="thin">
        <x:color rgb="FFD7D8D2"/>
      </x:bottom>
    </x:border>
    <x:border>
      <x:left style="thin">
        <x:color rgb="FFC9D4CE"/>
      </x:left>
      <x:right style="thin">
        <x:color rgb="FFD7D8D2"/>
      </x:right>
      <x:top style="thin">
        <x:color rgb="FFC9D4CE"/>
      </x:top>
      <x:bottom style="thin">
        <x:color rgb="FFD7D8D2"/>
      </x:bottom>
    </x:border>
    <x:border>
      <x:right style="thin">
        <x:color rgb="FFC9D4CE"/>
      </x:right>
    </x:border>
    <x:border>
      <x:left style="thin">
        <x:color rgb="FFC9D4CE"/>
      </x:left>
      <x:right style="thin">
        <x:color rgb="FFC9D4CE"/>
      </x:right>
    </x:border>
    <x:border>
      <x:left style="thin">
        <x:color rgb="FFC9D4CE"/>
      </x:left>
    </x:border>
  </x:borders>
  <x:cellStyleXfs count="1">
    <x:xf numFmtId="0" fontId="0" fillId="0" borderId="0"/>
  </x:cellStyleXfs>
  <x:cellXfs count="5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4" fillId="5" borderId="4" xfId="0" applyNumberFormat="1" applyFont="1" applyFill="1" applyBorder="1" applyAlignment="1">
      <x:alignment horizontal="center" vertical="top" wrapText="1"/>
    </x:xf>
    <x:xf numFmtId="0" fontId="4" fillId="5" borderId="7"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4" fillId="5" borderId="7" xfId="0" applyNumberFormat="1" applyFont="1" applyFill="1" applyBorder="1" applyAlignment="1">
      <x:alignment horizontal="center" vertical="center" wrapText="1"/>
    </x:xf>
    <x:xf numFmtId="0" fontId="3"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0" borderId="1" xfId="0" applyNumberFormat="1" applyFont="1" applyFill="1" applyBorder="1" applyAlignment="1">
      <x:alignment vertical="center"/>
    </x:xf>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5" borderId="1" xfId="0" applyNumberFormat="1" applyFont="1" applyFill="1" applyBorder="1" applyAlignment="1">
      <x:alignment vertical="center"/>
    </x:xf>
    <x:xf numFmtId="0" fontId="0" fillId="5" borderId="4" xfId="0" applyNumberFormat="1" applyFont="1" applyFill="1" applyBorder="1" applyAlignment="1">
      <x:alignment vertical="center"/>
    </x:xf>
    <x:xf numFmtId="0" fontId="0" fillId="5" borderId="7"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5" borderId="4" xfId="0" applyNumberFormat="1" applyFont="1" applyFill="1" applyBorder="1" applyAlignment="1">
      <x:alignment vertical="center"/>
    </x:xf>
    <x:xf numFmtId="0" fontId="4" fillId="5" borderId="7" xfId="0" applyNumberFormat="1" applyFont="1" applyFill="1" applyBorder="1" applyAlignment="1">
      <x:alignment vertical="center"/>
    </x:xf>
    <x:xf numFmtId="0" fontId="4" fillId="5" borderId="1"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7" borderId="7" xfId="0" applyNumberFormat="1" applyFont="1" applyFill="1" applyBorder="1" applyAlignment="1">
      <x:alignment horizontal="center" vertical="center"/>
    </x:xf>
    <x:xf numFmtId="0" fontId="0" fillId="7" borderId="8" xfId="0" applyNumberFormat="1" applyFont="1" applyFill="1" applyBorder="1" applyAlignment="1">
      <x:alignment vertical="center"/>
    </x:xf>
    <x:xf numFmtId="0" fontId="0" fillId="7" borderId="9" xfId="0" applyNumberFormat="1" applyFont="1" applyFill="1" applyBorder="1" applyAlignment="1">
      <x:alignment vertical="center"/>
    </x:xf>
    <x:xf numFmtId="0" fontId="6" fillId="7" borderId="7" xfId="0" applyNumberFormat="1" applyFont="1" applyFill="1" applyBorder="1" applyAlignment="1">
      <x:alignment horizontal="center" vertical="center"/>
    </x:xf>
    <x:xf numFmtId="0" fontId="7" fillId="7" borderId="8" xfId="0" applyNumberFormat="1" applyFont="1" applyFill="1" applyBorder="1" applyAlignment="1">
      <x:alignment vertical="center"/>
    </x:xf>
    <x:xf numFmtId="0" fontId="7" fillId="7" borderId="9" xfId="0" applyNumberFormat="1" applyFont="1" applyFill="1" applyBorder="1" applyAlignment="1">
      <x:alignment vertical="center"/>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3" fillId="2" borderId="10" xfId="0" applyNumberFormat="1" applyFont="1" applyFill="1" applyBorder="1"/>
    <x:xf numFmtId="0" fontId="3" fillId="2" borderId="10" xfId="0" applyNumberFormat="1" applyFont="1" applyFill="1" applyBorder="1" applyAlignment="1">
      <x:alignment wrapText="1"/>
    </x:xf>
    <x:xf numFmtId="0" fontId="3" fillId="2" borderId="10" xfId="0" applyNumberFormat="1" applyFont="1" applyFill="1" applyBorder="1" applyAlignment="1">
      <x:alignment horizontal="center" wrapText="1"/>
    </x:xf>
    <x:xf numFmtId="0" fontId="3" fillId="2" borderId="10" xfId="0" applyNumberFormat="1" applyFont="1" applyFill="1" applyBorder="1" applyAlignment="1">
      <x:alignment horizontal="center" vertical="center" wrapText="1"/>
    </x:xf>
    <x:xf numFmtId="0" fontId="0" fillId="6" borderId="1"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8" borderId="4" xfId="0" applyNumberFormat="1" applyFont="1" applyFill="1" applyBorder="1" applyAlignment="1">
      <x:alignment vertical="top" wrapText="1"/>
    </x:xf>
    <x:xf numFmtId="0" fontId="0" fillId="8" borderId="5" xfId="0" applyNumberFormat="1" applyFont="1" applyFill="1" applyBorder="1" applyAlignment="1">
      <x:alignment vertical="top" wrapText="1"/>
    </x:xf>
    <x:xf numFmtId="0" fontId="0" fillId="8" borderId="7" xfId="0" applyNumberFormat="1" applyFont="1" applyFill="1" applyBorder="1" applyAlignment="1">
      <x:alignment vertical="top" wrapText="1"/>
    </x:xf>
    <x:xf numFmtId="0" fontId="0" fillId="8" borderId="8"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6" xfId="0" applyNumberFormat="1" applyFont="1" applyFill="1" applyBorder="1" applyAlignment="1">
      <x:alignment vertical="top" wrapText="1"/>
    </x:xf>
    <x:xf numFmtId="0" fontId="0" fillId="7" borderId="8"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2" xfId="0" applyNumberFormat="1" applyFont="1" applyFill="1" applyBorder="1" applyAlignment="1">
      <x:alignment horizontal="center" vertical="top" wrapText="1"/>
    </x:xf>
    <x:xf numFmtId="0" fontId="4" fillId="5" borderId="5" xfId="0" applyNumberFormat="1" applyFont="1" applyFill="1" applyBorder="1" applyAlignment="1">
      <x:alignment horizontal="center" vertical="top" wrapText="1"/>
    </x:xf>
    <x:xf numFmtId="0" fontId="4" fillId="5" borderId="8" xfId="0" applyNumberFormat="1" applyFont="1" applyFill="1" applyBorder="1" applyAlignment="1">
      <x:alignment horizontal="center" vertical="top" wrapText="1"/>
    </x:xf>
    <x:xf numFmtId="0" fontId="4" fillId="5" borderId="2"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8" xfId="0" applyNumberFormat="1" applyFont="1" applyFill="1" applyBorder="1" applyAlignment="1">
      <x:alignment horizontal="center" vertical="center" wrapText="1"/>
    </x:xf>
    <x:xf numFmtId="0" fontId="0" fillId="9" borderId="2" xfId="0" applyNumberFormat="1" applyFont="1" applyFill="1" applyBorder="1" applyAlignment="1">
      <x:alignment vertical="top" wrapText="1"/>
    </x:xf>
    <x:xf numFmtId="0" fontId="0" fillId="9" borderId="5" xfId="0" applyNumberFormat="1" applyFont="1" applyFill="1" applyBorder="1" applyAlignment="1">
      <x:alignment vertical="top" wrapText="1"/>
    </x:xf>
    <x:xf numFmtId="0" fontId="0" fillId="9" borderId="8" xfId="0" applyNumberFormat="1" applyFont="1" applyFill="1" applyBorder="1" applyAlignment="1">
      <x:alignment vertical="top" wrapText="1"/>
    </x:xf>
    <x:xf numFmtId="0" fontId="0" fillId="9" borderId="3" xfId="0" applyNumberFormat="1" applyFont="1" applyFill="1" applyBorder="1" applyAlignment="1">
      <x:alignment vertical="top" wrapText="1"/>
    </x:xf>
    <x:xf numFmtId="0" fontId="0" fillId="9" borderId="6" xfId="0" applyNumberFormat="1" applyFont="1" applyFill="1" applyBorder="1" applyAlignment="1">
      <x:alignment vertical="top" wrapText="1"/>
    </x:xf>
    <x:xf numFmtId="0" fontId="0" fillId="9" borderId="9"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8" borderId="7" xfId="0" applyNumberFormat="1" applyFont="1" applyFill="1" applyBorder="1" applyAlignment="1">
      <x:alignment horizontal="center" vertical="center" wrapText="1"/>
    </x:xf>
    <x:xf numFmtId="0" fontId="0" fillId="8" borderId="9" xfId="0" applyNumberFormat="1" applyFont="1" applyFill="1" applyBorder="1" applyAlignment="1">
      <x:alignment vertical="top" wrapText="1"/>
    </x:xf>
    <x:xf numFmtId="0" fontId="6" fillId="8" borderId="7" xfId="0" applyNumberFormat="1" applyFont="1" applyFill="1" applyBorder="1" applyAlignment="1">
      <x:alignment horizontal="center" vertical="center" wrapText="1"/>
    </x:xf>
    <x:xf numFmtId="0" fontId="7" fillId="8" borderId="8" xfId="0" applyNumberFormat="1" applyFont="1" applyFill="1" applyBorder="1" applyAlignment="1">
      <x:alignment vertical="top" wrapText="1"/>
    </x:xf>
    <x:xf numFmtId="0" fontId="7" fillId="8" borderId="9" xfId="0" applyNumberFormat="1" applyFont="1" applyFill="1" applyBorder="1" applyAlignment="1">
      <x:alignment vertical="top" wrapText="1"/>
    </x:xf>
    <x:xf numFmtId="0" fontId="6" fillId="8" borderId="7" xfId="0" applyNumberFormat="1" applyFont="1" applyFill="1" applyBorder="1" applyAlignment="1">
      <x:alignment horizontal="center" vertical="top" wrapText="1"/>
    </x:xf>
    <x:xf numFmtId="0" fontId="4" fillId="6" borderId="1" xfId="0" applyNumberFormat="1" applyFont="1" applyFill="1" applyBorder="1" applyAlignment="1">
      <x:alignment horizontal="center" vertical="top" wrapText="1"/>
    </x:xf>
    <x:xf numFmtId="0" fontId="0" fillId="6" borderId="3" xfId="0" applyNumberFormat="1" applyFont="1" applyFill="1" applyBorder="1" applyAlignment="1">
      <x:alignment vertical="top" wrapText="1"/>
    </x:xf>
    <x:xf numFmtId="0" fontId="4" fillId="6" borderId="4" xfId="0" applyNumberFormat="1" applyFont="1" applyFill="1" applyBorder="1" applyAlignment="1">
      <x:alignment horizontal="center" vertical="top" wrapText="1"/>
    </x:xf>
    <x:xf numFmtId="0" fontId="0" fillId="6" borderId="6" xfId="0" applyNumberFormat="1" applyFont="1" applyFill="1" applyBorder="1" applyAlignment="1">
      <x:alignment vertical="top" wrapText="1"/>
    </x:xf>
    <x:xf numFmtId="0" fontId="4" fillId="8" borderId="4" xfId="0" applyNumberFormat="1" applyFont="1" applyFill="1" applyBorder="1" applyAlignment="1">
      <x:alignment horizontal="center" vertical="top" wrapText="1"/>
    </x:xf>
    <x:xf numFmtId="0" fontId="0" fillId="8" borderId="6" xfId="0" applyNumberFormat="1" applyFont="1" applyFill="1" applyBorder="1" applyAlignment="1">
      <x:alignment vertical="top" wrapText="1"/>
    </x:xf>
    <x:xf numFmtId="0" fontId="4" fillId="6" borderId="7" xfId="0" applyNumberFormat="1" applyFont="1" applyFill="1" applyBorder="1" applyAlignment="1">
      <x:alignment horizontal="center"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left"/>
    </x:xf>
    <x:xf numFmtId="0" fontId="8" fillId="10" borderId="0" xfId="0" applyNumberFormat="1" applyFont="1" applyFill="1" applyBorder="1" applyAlignment="1">
      <x:alignment horizontal="left"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9" fillId="11" borderId="0" xfId="0" applyNumberFormat="1" applyFont="1" applyFill="1" applyBorder="1" applyAlignment="1">
      <x:alignment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0" fillId="13" borderId="0" xfId="0" applyNumberFormat="1" applyFont="1" applyFill="1" applyBorder="1"/>
    <x:xf numFmtId="0" fontId="0" fillId="13" borderId="11" xfId="0" applyNumberFormat="1" applyFont="1" applyFill="1" applyBorder="1"/>
    <x:xf numFmtId="0" fontId="0" fillId="13" borderId="12" xfId="0" applyNumberFormat="1" applyFont="1" applyFill="1" applyBorder="1"/>
    <x:xf numFmtId="0" fontId="0" fillId="13" borderId="13" xfId="0" applyNumberFormat="1" applyFont="1" applyFill="1" applyBorder="1"/>
    <x:xf numFmtId="0" fontId="0" fillId="13" borderId="14" xfId="0" applyNumberFormat="1" applyFont="1" applyFill="1" applyBorder="1"/>
    <x:xf numFmtId="0" fontId="0" fillId="13" borderId="15" xfId="0" applyNumberFormat="1" applyFont="1" applyFill="1" applyBorder="1"/>
    <x:xf numFmtId="0" fontId="0" fillId="13" borderId="16" xfId="0" applyNumberFormat="1" applyFont="1" applyFill="1" applyBorder="1"/>
    <x:xf numFmtId="0" fontId="0" fillId="13" borderId="11" xfId="0" applyNumberFormat="1" applyFont="1" applyFill="1" applyBorder="1" applyAlignment="1">
      <x:alignment horizontal="center"/>
    </x:xf>
    <x:xf numFmtId="0" fontId="0" fillId="13" borderId="12" xfId="0" applyNumberFormat="1" applyFont="1" applyFill="1" applyBorder="1" applyAlignment="1">
      <x:alignment horizontal="center"/>
    </x:xf>
    <x:xf numFmtId="0" fontId="0" fillId="13" borderId="13" xfId="0" applyNumberFormat="1" applyFont="1" applyFill="1" applyBorder="1" applyAlignment="1">
      <x:alignment horizontal="center"/>
    </x:xf>
    <x:xf numFmtId="0" fontId="0" fillId="13" borderId="14" xfId="0" applyNumberFormat="1" applyFont="1" applyFill="1" applyBorder="1" applyAlignment="1">
      <x:alignment horizontal="center"/>
    </x:xf>
    <x:xf numFmtId="0" fontId="0" fillId="13" borderId="15" xfId="0" applyNumberFormat="1" applyFont="1" applyFill="1" applyBorder="1" applyAlignment="1">
      <x:alignment horizontal="center"/>
    </x:xf>
    <x:xf numFmtId="0" fontId="0" fillId="13" borderId="16" xfId="0" applyNumberFormat="1" applyFont="1" applyFill="1" applyBorder="1" applyAlignment="1">
      <x:alignment horizontal="center"/>
    </x:xf>
    <x:xf numFmtId="0" fontId="0" fillId="13" borderId="11" xfId="0" applyNumberFormat="1" applyFont="1" applyFill="1" applyBorder="1" applyAlignment="1">
      <x:alignment horizontal="center" vertical="center"/>
    </x:xf>
    <x:xf numFmtId="0" fontId="0" fillId="13" borderId="12" xfId="0" applyNumberFormat="1" applyFont="1" applyFill="1" applyBorder="1" applyAlignment="1">
      <x:alignment horizontal="center" vertical="center"/>
    </x:xf>
    <x:xf numFmtId="0" fontId="0" fillId="13" borderId="13" xfId="0" applyNumberFormat="1" applyFont="1" applyFill="1" applyBorder="1" applyAlignment="1">
      <x:alignment horizontal="center" vertical="center"/>
    </x:xf>
    <x:xf numFmtId="0" fontId="0" fillId="13" borderId="14" xfId="0" applyNumberFormat="1" applyFont="1" applyFill="1" applyBorder="1" applyAlignment="1">
      <x:alignment horizontal="center" vertical="center"/>
    </x:xf>
    <x:xf numFmtId="0" fontId="0" fillId="13" borderId="15" xfId="0" applyNumberFormat="1" applyFont="1" applyFill="1" applyBorder="1" applyAlignment="1">
      <x:alignment horizontal="center" vertical="center"/>
    </x:xf>
    <x:xf numFmtId="0" fontId="0" fillId="13" borderId="16" xfId="0" applyNumberFormat="1" applyFont="1" applyFill="1" applyBorder="1" applyAlignment="1">
      <x:alignment horizontal="center" vertical="center"/>
    </x:xf>
    <x:xf numFmtId="0" fontId="0" fillId="14" borderId="0" xfId="0" applyNumberFormat="1" applyFont="1" applyFill="1" applyBorder="1"/>
    <x:xf numFmtId="0" fontId="9" fillId="14" borderId="0" xfId="0" applyNumberFormat="1" applyFont="1" applyFill="1" applyBorder="1"/>
    <x:xf numFmtId="0" fontId="9" fillId="14" borderId="0" xfId="0" applyNumberFormat="1" applyFont="1" applyFill="1" applyBorder="1" applyAlignment="1">
      <x:alignment wrapText="1"/>
    </x:xf>
    <x:xf numFmtId="0" fontId="9" fillId="14" borderId="0" xfId="0" applyNumberFormat="1" applyFont="1" applyFill="1" applyBorder="1" applyAlignment="1">
      <x:alignment vertical="center" wrapText="1"/>
    </x:xf>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11" xfId="0" applyNumberFormat="1" applyFont="1" applyFill="1" applyBorder="1"/>
    <x:xf numFmtId="0" fontId="9" fillId="0" borderId="17" xfId="0" applyNumberFormat="1" applyFont="1" applyFill="1" applyBorder="1"/>
    <x:xf numFmtId="0" fontId="9" fillId="0" borderId="12" xfId="0" applyNumberFormat="1" applyFont="1" applyFill="1" applyBorder="1"/>
    <x:xf numFmtId="0" fontId="9" fillId="0" borderId="13" xfId="0" applyNumberFormat="1" applyFont="1" applyFill="1" applyBorder="1"/>
    <x:xf numFmtId="0" fontId="9" fillId="0" borderId="18" xfId="0" applyNumberFormat="1" applyFont="1" applyFill="1" applyBorder="1"/>
    <x:xf numFmtId="0" fontId="9" fillId="0" borderId="14" xfId="0" applyNumberFormat="1" applyFont="1" applyFill="1" applyBorder="1"/>
    <x:xf numFmtId="0" fontId="9" fillId="0" borderId="15" xfId="0" applyNumberFormat="1" applyFont="1" applyFill="1" applyBorder="1"/>
    <x:xf numFmtId="0" fontId="9" fillId="0" borderId="19" xfId="0" applyNumberFormat="1" applyFont="1" applyFill="1" applyBorder="1"/>
    <x:xf numFmtId="0" fontId="9" fillId="0" borderId="16" xfId="0" applyNumberFormat="1" applyFont="1" applyFill="1" applyBorder="1"/>
    <x:xf numFmtId="0" fontId="9" fillId="0" borderId="11" xfId="0" applyNumberFormat="1" applyFont="1" applyFill="1" applyBorder="1" applyAlignment="1">
      <x:alignment wrapText="1"/>
    </x:xf>
    <x:xf numFmtId="0" fontId="9" fillId="0" borderId="17" xfId="0" applyNumberFormat="1" applyFont="1" applyFill="1" applyBorder="1" applyAlignment="1">
      <x:alignment wrapText="1"/>
    </x:xf>
    <x:xf numFmtId="0" fontId="9" fillId="0" borderId="12" xfId="0" applyNumberFormat="1" applyFont="1" applyFill="1" applyBorder="1" applyAlignment="1">
      <x:alignment wrapText="1"/>
    </x:xf>
    <x:xf numFmtId="0" fontId="9" fillId="0" borderId="13" xfId="0" applyNumberFormat="1" applyFont="1" applyFill="1" applyBorder="1" applyAlignment="1">
      <x:alignment wrapText="1"/>
    </x:xf>
    <x:xf numFmtId="0" fontId="9" fillId="0" borderId="18" xfId="0" applyNumberFormat="1" applyFont="1" applyFill="1" applyBorder="1" applyAlignment="1">
      <x:alignment wrapText="1"/>
    </x:xf>
    <x:xf numFmtId="0" fontId="9" fillId="0" borderId="14" xfId="0" applyNumberFormat="1" applyFont="1" applyFill="1" applyBorder="1" applyAlignment="1">
      <x:alignment wrapText="1"/>
    </x:xf>
    <x:xf numFmtId="0" fontId="9" fillId="0" borderId="15" xfId="0" applyNumberFormat="1" applyFont="1" applyFill="1" applyBorder="1" applyAlignment="1">
      <x:alignment wrapText="1"/>
    </x:xf>
    <x:xf numFmtId="0" fontId="9" fillId="0" borderId="19" xfId="0" applyNumberFormat="1" applyFont="1" applyFill="1" applyBorder="1" applyAlignment="1">
      <x:alignment wrapText="1"/>
    </x:xf>
    <x:xf numFmtId="0" fontId="9" fillId="0" borderId="16" xfId="0" applyNumberFormat="1" applyFont="1" applyFill="1" applyBorder="1" applyAlignment="1">
      <x:alignment wrapText="1"/>
    </x:xf>
    <x:xf numFmtId="0" fontId="9" fillId="0" borderId="11" xfId="0" applyNumberFormat="1" applyFont="1" applyFill="1" applyBorder="1" applyAlignment="1">
      <x:alignment vertical="top" wrapText="1"/>
    </x:xf>
    <x:xf numFmtId="0" fontId="9" fillId="0" borderId="17" xfId="0" applyNumberFormat="1" applyFont="1" applyFill="1" applyBorder="1" applyAlignment="1">
      <x:alignment vertical="top" wrapText="1"/>
    </x:xf>
    <x:xf numFmtId="0" fontId="9" fillId="0" borderId="12" xfId="0" applyNumberFormat="1" applyFont="1" applyFill="1" applyBorder="1" applyAlignment="1">
      <x:alignment vertical="top" wrapText="1"/>
    </x:xf>
    <x:xf numFmtId="0" fontId="9" fillId="0" borderId="13" xfId="0" applyNumberFormat="1" applyFont="1" applyFill="1" applyBorder="1" applyAlignment="1">
      <x:alignment vertical="top" wrapText="1"/>
    </x:xf>
    <x:xf numFmtId="0" fontId="9" fillId="0" borderId="18" xfId="0" applyNumberFormat="1" applyFont="1" applyFill="1" applyBorder="1" applyAlignment="1">
      <x:alignment vertical="top" wrapText="1"/>
    </x:xf>
    <x:xf numFmtId="0" fontId="9" fillId="0" borderId="14" xfId="0" applyNumberFormat="1" applyFont="1" applyFill="1" applyBorder="1" applyAlignment="1">
      <x:alignment vertical="top" wrapText="1"/>
    </x:xf>
    <x:xf numFmtId="0" fontId="9" fillId="0" borderId="15" xfId="0" applyNumberFormat="1" applyFont="1" applyFill="1" applyBorder="1" applyAlignment="1">
      <x:alignment vertical="top" wrapText="1"/>
    </x:xf>
    <x:xf numFmtId="0" fontId="9" fillId="0" borderId="19" xfId="0" applyNumberFormat="1" applyFont="1" applyFill="1" applyBorder="1" applyAlignment="1">
      <x:alignment vertical="top" wrapText="1"/>
    </x:xf>
    <x:xf numFmtId="0" fontId="9" fillId="0" borderId="16" xfId="0" applyNumberFormat="1" applyFont="1" applyFill="1" applyBorder="1" applyAlignment="1">
      <x:alignment vertical="top" wrapText="1"/>
    </x:xf>
    <x:xf numFmtId="0" fontId="9" fillId="13" borderId="11" xfId="0" applyNumberFormat="1" applyFont="1" applyFill="1" applyBorder="1" applyAlignment="1">
      <x:alignment vertical="top" wrapText="1"/>
    </x:xf>
    <x:xf numFmtId="0" fontId="9" fillId="13" borderId="13" xfId="0" applyNumberFormat="1" applyFont="1" applyFill="1" applyBorder="1" applyAlignment="1">
      <x:alignment vertical="top" wrapText="1"/>
    </x:xf>
    <x:xf numFmtId="0" fontId="9" fillId="13" borderId="15" xfId="0" applyNumberFormat="1" applyFont="1" applyFill="1" applyBorder="1" applyAlignment="1">
      <x:alignment vertical="top" wrapText="1"/>
    </x:xf>
    <x:xf numFmtId="0" fontId="9" fillId="13" borderId="11" xfId="0" applyNumberFormat="1" applyFont="1" applyFill="1" applyBorder="1" applyAlignment="1">
      <x:alignment horizontal="center" vertical="top" wrapText="1"/>
    </x:xf>
    <x:xf numFmtId="0" fontId="9" fillId="13" borderId="13" xfId="0" applyNumberFormat="1" applyFont="1" applyFill="1" applyBorder="1" applyAlignment="1">
      <x:alignment horizontal="center" vertical="top" wrapText="1"/>
    </x:xf>
    <x:xf numFmtId="0" fontId="9" fillId="13" borderId="15" xfId="0" applyNumberFormat="1" applyFont="1" applyFill="1" applyBorder="1" applyAlignment="1">
      <x:alignment horizontal="center" vertical="top" wrapText="1"/>
    </x:xf>
    <x:xf numFmtId="0" fontId="9" fillId="13" borderId="11" xfId="0" applyNumberFormat="1" applyFont="1" applyFill="1" applyBorder="1" applyAlignment="1">
      <x:alignment horizontal="center" vertical="center" wrapText="1"/>
    </x:xf>
    <x:xf numFmtId="0" fontId="9" fillId="13" borderId="13" xfId="0" applyNumberFormat="1" applyFont="1" applyFill="1" applyBorder="1" applyAlignment="1">
      <x:alignment horizontal="center" vertical="center" wrapText="1"/>
    </x:xf>
    <x:xf numFmtId="0" fontId="9" fillId="13" borderId="15" xfId="0" applyNumberFormat="1" applyFont="1" applyFill="1" applyBorder="1" applyAlignment="1">
      <x:alignment horizontal="center" vertical="center" wrapText="1"/>
    </x:xf>
    <x:xf numFmtId="0" fontId="9" fillId="15" borderId="17" xfId="0" applyNumberFormat="1" applyFont="1" applyFill="1" applyBorder="1" applyAlignment="1">
      <x:alignment vertical="top" wrapText="1"/>
    </x:xf>
    <x:xf numFmtId="0" fontId="9" fillId="15" borderId="18" xfId="0" applyNumberFormat="1" applyFont="1" applyFill="1" applyBorder="1" applyAlignment="1">
      <x:alignment vertical="top" wrapText="1"/>
    </x:xf>
    <x:xf numFmtId="0" fontId="9" fillId="15" borderId="19" xfId="0" applyNumberFormat="1" applyFont="1" applyFill="1" applyBorder="1" applyAlignment="1">
      <x:alignment vertical="top" wrapText="1"/>
    </x:xf>
    <x:xf numFmtId="0" fontId="10" fillId="15" borderId="17" xfId="0" applyNumberFormat="1" applyFont="1" applyFill="1" applyBorder="1" applyAlignment="1">
      <x:alignment vertical="top" wrapText="1"/>
    </x:xf>
    <x:xf numFmtId="0" fontId="10" fillId="15" borderId="18" xfId="0" applyNumberFormat="1" applyFont="1" applyFill="1" applyBorder="1" applyAlignment="1">
      <x:alignment vertical="top" wrapText="1"/>
    </x:xf>
    <x:xf numFmtId="0" fontId="10" fillId="15" borderId="19" xfId="0" applyNumberFormat="1" applyFont="1" applyFill="1" applyBorder="1" applyAlignment="1">
      <x:alignment vertical="top" wrapText="1"/>
    </x:xf>
    <x:xf numFmtId="0" fontId="9" fillId="11" borderId="12" xfId="0" applyNumberFormat="1" applyFont="1" applyFill="1" applyBorder="1" applyAlignment="1">
      <x:alignment vertical="top" wrapText="1"/>
    </x:xf>
    <x:xf numFmtId="0" fontId="9" fillId="11" borderId="14" xfId="0" applyNumberFormat="1" applyFont="1" applyFill="1" applyBorder="1" applyAlignment="1">
      <x:alignment vertical="top" wrapText="1"/>
    </x:xf>
    <x:xf numFmtId="0" fontId="9" fillId="11" borderId="16" xfId="0" applyNumberFormat="1" applyFont="1" applyFill="1" applyBorder="1" applyAlignment="1">
      <x:alignment vertical="top" wrapText="1"/>
    </x:xf>
    <x:xf numFmtId="0" fontId="11" fillId="11" borderId="12" xfId="0" applyNumberFormat="1" applyFont="1" applyFill="1" applyBorder="1" applyAlignment="1">
      <x:alignment vertical="top" wrapText="1"/>
    </x:xf>
    <x:xf numFmtId="0" fontId="11" fillId="11" borderId="14" xfId="0" applyNumberFormat="1" applyFont="1" applyFill="1" applyBorder="1" applyAlignment="1">
      <x:alignment vertical="top" wrapText="1"/>
    </x:xf>
    <x:xf numFmtId="0" fontId="11" fillId="11" borderId="16" xfId="0" applyNumberFormat="1" applyFont="1" applyFill="1" applyBorder="1" applyAlignment="1">
      <x:alignment vertical="top" wrapText="1"/>
    </x:xf>
    <x:xf numFmtId="0" fontId="0" fillId="16" borderId="0" xfId="0" applyNumberFormat="1" applyFont="1" applyFill="1" applyBorder="1"/>
    <x:xf numFmtId="0" fontId="11" fillId="16" borderId="0" xfId="0" applyNumberFormat="1" applyFont="1" applyFill="1" applyBorder="1"/>
    <x:xf numFmtId="0" fontId="11" fillId="16" borderId="0" xfId="0" applyNumberFormat="1" applyFont="1" applyFill="1" applyBorder="1" applyAlignment="1">
      <x:alignment wrapText="1"/>
    </x:xf>
    <x:xf numFmtId="0" fontId="11" fillId="16" borderId="0" xfId="0" applyNumberFormat="1" applyFont="1" applyFill="1" applyBorder="1" applyAlignment="1">
      <x:alignment vertic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vertical="center"/>
    </x:xf>
    <x:xf numFmtId="0" fontId="0" fillId="0" borderId="11" xfId="0" applyNumberFormat="1" applyFont="1" applyFill="1" applyBorder="1"/>
    <x:xf numFmtId="0" fontId="0" fillId="0" borderId="17"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8"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9" xfId="0" applyNumberFormat="1" applyFont="1" applyFill="1" applyBorder="1"/>
    <x:xf numFmtId="0" fontId="0" fillId="0" borderId="16" xfId="0" applyNumberFormat="1" applyFont="1" applyFill="1" applyBorder="1"/>
    <x:xf numFmtId="0" fontId="0" fillId="0" borderId="11"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18" borderId="11" xfId="0" applyNumberFormat="1" applyFont="1" applyFill="1" applyBorder="1" applyAlignment="1">
      <x:alignment vertical="top" wrapText="1"/>
    </x:xf>
    <x:xf numFmtId="0" fontId="0" fillId="18" borderId="13" xfId="0" applyNumberFormat="1" applyFont="1" applyFill="1" applyBorder="1" applyAlignment="1">
      <x:alignment vertical="top" wrapText="1"/>
    </x:xf>
    <x:xf numFmtId="0" fontId="0" fillId="18" borderId="15" xfId="0" applyNumberFormat="1" applyFont="1" applyFill="1" applyBorder="1" applyAlignment="1">
      <x:alignment vertical="top" wrapText="1"/>
    </x:xf>
    <x:xf numFmtId="0" fontId="12" fillId="18" borderId="11" xfId="0" applyNumberFormat="1" applyFont="1" applyFill="1" applyBorder="1" applyAlignment="1">
      <x:alignment vertical="top" wrapText="1"/>
    </x:xf>
    <x:xf numFmtId="0" fontId="12" fillId="18" borderId="13" xfId="0" applyNumberFormat="1" applyFont="1" applyFill="1" applyBorder="1" applyAlignment="1">
      <x:alignment vertical="top" wrapText="1"/>
    </x:xf>
    <x:xf numFmtId="0" fontId="12" fillId="18" borderId="15" xfId="0" applyNumberFormat="1" applyFont="1" applyFill="1" applyBorder="1" applyAlignment="1">
      <x:alignment vertical="top" wrapText="1"/>
    </x:xf>
    <x:xf numFmtId="0" fontId="12" fillId="18" borderId="11" xfId="0" applyNumberFormat="1" applyFont="1" applyFill="1" applyBorder="1" applyAlignment="1">
      <x:alignment horizontal="center" vertical="top" wrapText="1"/>
    </x:xf>
    <x:xf numFmtId="0" fontId="12" fillId="18" borderId="13" xfId="0" applyNumberFormat="1" applyFont="1" applyFill="1" applyBorder="1" applyAlignment="1">
      <x:alignment horizontal="center" vertical="top" wrapText="1"/>
    </x:xf>
    <x:xf numFmtId="0" fontId="12" fillId="18" borderId="15" xfId="0" applyNumberFormat="1" applyFont="1" applyFill="1" applyBorder="1" applyAlignment="1">
      <x:alignment horizontal="center" vertical="top" wrapText="1"/>
    </x:xf>
    <x:xf numFmtId="0" fontId="12" fillId="18" borderId="11"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9" fillId="20" borderId="0" xfId="0" applyNumberFormat="1" applyFont="1" applyFill="1" applyBorder="1" applyAlignment="1">
      <x:alignment wrapText="1"/>
    </x:xf>
    <x:xf numFmtId="0" fontId="9" fillId="20" borderId="0" xfId="0" applyNumberFormat="1" applyFont="1" applyFill="1" applyBorder="1" applyAlignment="1">
      <x:alignment vertical="top" wrapText="1"/>
    </x:xf>
    <x:xf numFmtId="0" fontId="0" fillId="0" borderId="11"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18" borderId="11" xfId="0" applyNumberFormat="1" applyFont="1" applyFill="1" applyBorder="1" applyAlignment="1">
      <x:alignment vertical="center" wrapText="1"/>
    </x:xf>
    <x:xf numFmtId="0" fontId="0" fillId="18" borderId="13" xfId="0" applyNumberFormat="1" applyFont="1" applyFill="1" applyBorder="1" applyAlignment="1">
      <x:alignment vertical="center" wrapText="1"/>
    </x:xf>
    <x:xf numFmtId="0" fontId="0" fillId="18" borderId="15" xfId="0" applyNumberFormat="1" applyFont="1" applyFill="1" applyBorder="1" applyAlignment="1">
      <x:alignment vertical="center" wrapText="1"/>
    </x:xf>
    <x:xf numFmtId="0" fontId="12" fillId="18" borderId="11" xfId="0" applyNumberFormat="1" applyFont="1" applyFill="1" applyBorder="1" applyAlignment="1">
      <x:alignment vertical="center" wrapText="1"/>
    </x:xf>
    <x:xf numFmtId="0" fontId="12" fillId="18" borderId="13" xfId="0" applyNumberFormat="1" applyFont="1" applyFill="1" applyBorder="1" applyAlignment="1">
      <x:alignment vertical="center" wrapText="1"/>
    </x:xf>
    <x:xf numFmtId="0" fontId="12" fillId="18" borderId="15" xfId="0" applyNumberFormat="1" applyFont="1" applyFill="1" applyBorder="1" applyAlignment="1">
      <x:alignment vertical="center" wrapText="1"/>
    </x:xf>
    <x:xf numFmtId="0" fontId="12" fillId="21" borderId="13" xfId="0" applyNumberFormat="1" applyFont="1" applyFill="1" applyBorder="1" applyAlignment="1">
      <x:alignment horizontal="center" vertical="center" wrapText="1"/>
    </x:xf>
    <x:xf numFmtId="0" fontId="0" fillId="21" borderId="18" xfId="0" applyNumberFormat="1" applyFont="1" applyFill="1" applyBorder="1" applyAlignment="1">
      <x:alignment vertical="center" wrapText="1"/>
    </x:xf>
    <x:xf numFmtId="0" fontId="0" fillId="21" borderId="14" xfId="0" applyNumberFormat="1" applyFont="1" applyFill="1" applyBorder="1" applyAlignment="1">
      <x:alignment vertical="center" wrapText="1"/>
    </x:xf>
    <x:xf numFmtId="0" fontId="13" fillId="21" borderId="13" xfId="0" applyNumberFormat="1" applyFont="1" applyFill="1" applyBorder="1" applyAlignment="1">
      <x:alignment horizontal="center" vertical="center" wrapText="1"/>
    </x:xf>
    <x:xf numFmtId="0" fontId="11" fillId="21" borderId="18" xfId="0" applyNumberFormat="1" applyFont="1" applyFill="1" applyBorder="1" applyAlignment="1">
      <x:alignment vertical="center" wrapText="1"/>
    </x:xf>
    <x:xf numFmtId="0" fontId="11" fillId="21" borderId="14" xfId="0" applyNumberFormat="1" applyFont="1" applyFill="1" applyBorder="1" applyAlignment="1">
      <x:alignment vertical="center" wrapText="1"/>
    </x:xf>
    <x:xf numFmtId="0" fontId="12" fillId="21" borderId="15" xfId="0" applyNumberFormat="1" applyFont="1" applyFill="1" applyBorder="1" applyAlignment="1">
      <x:alignment horizontal="center" vertical="center" wrapText="1"/>
    </x:xf>
    <x:xf numFmtId="0" fontId="0" fillId="21" borderId="19" xfId="0" applyNumberFormat="1" applyFont="1" applyFill="1" applyBorder="1" applyAlignment="1">
      <x:alignment vertical="center" wrapText="1"/>
    </x:xf>
    <x:xf numFmtId="0" fontId="0" fillId="21" borderId="16" xfId="0" applyNumberFormat="1" applyFont="1" applyFill="1" applyBorder="1" applyAlignment="1">
      <x:alignment vertical="center" wrapText="1"/>
    </x:xf>
    <x:xf numFmtId="0" fontId="13" fillId="21" borderId="15" xfId="0" applyNumberFormat="1" applyFont="1" applyFill="1" applyBorder="1" applyAlignment="1">
      <x:alignment horizontal="center" vertical="center" wrapText="1"/>
    </x:xf>
    <x:xf numFmtId="0" fontId="11" fillId="21" borderId="19" xfId="0" applyNumberFormat="1" applyFont="1" applyFill="1" applyBorder="1" applyAlignment="1">
      <x:alignment vertical="center" wrapText="1"/>
    </x:xf>
    <x:xf numFmtId="0" fontId="11" fillId="21" borderId="16" xfId="0" applyNumberFormat="1" applyFont="1" applyFill="1" applyBorder="1" applyAlignment="1">
      <x:alignment vertical="center" wrapText="1"/>
    </x:xf>
    <x:xf numFmtId="0" fontId="0" fillId="21" borderId="0" xfId="0" applyNumberFormat="1" applyFont="1" applyFill="1" applyBorder="1"/>
    <x:xf numFmtId="0" fontId="14" fillId="21" borderId="0" xfId="0" applyNumberFormat="1" applyFont="1" applyFill="1" applyBorder="1"/>
    <x:xf numFmtId="0" fontId="14" fillId="21" borderId="0" xfId="0" applyNumberFormat="1" applyFont="1" applyFill="1" applyBorder="1" applyAlignment="1">
      <x:alignment wrapText="1"/>
    </x:xf>
    <x:xf numFmtId="0" fontId="14" fillId="21" borderId="0" xfId="0" applyNumberFormat="1" applyFont="1" applyFill="1" applyBorder="1" applyAlignment="1">
      <x:alignment vertical="top" wrapText="1"/>
    </x:xf>
    <x:xf numFmtId="0" fontId="2" fillId="16" borderId="0" xfId="0" applyNumberFormat="1" applyFont="1" applyFill="1" applyBorder="1" applyAlignment="1">
      <x:alignment vertical="center" wrapText="1"/>
    </x:xf>
    <x:xf numFmtId="0" fontId="15" fillId="16" borderId="0" xfId="0" applyNumberFormat="1" applyFont="1" applyFill="1" applyBorder="1" applyAlignment="1">
      <x:alignment vertical="center" wrapText="1"/>
    </x:xf>
    <x:xf numFmtId="0" fontId="4" fillId="22" borderId="5" xfId="0" applyNumberFormat="1" applyFont="1" applyFill="1" applyBorder="1" applyAlignment="1">
      <x:alignment horizontal="center" vertical="center" wrapText="1"/>
    </x:xf>
    <x:xf numFmtId="0" fontId="16" fillId="22" borderId="5" xfId="0" applyNumberFormat="1" applyFont="1" applyFill="1" applyBorder="1" applyAlignment="1">
      <x:alignment horizontal="center" vertical="center" wrapText="1"/>
    </x:xf>
    <x:xf numFmtId="0" fontId="4" fillId="23" borderId="5" xfId="0" applyNumberFormat="1" applyFont="1" applyFill="1" applyBorder="1" applyAlignment="1">
      <x:alignment horizontal="center" vertical="center" wrapText="1"/>
    </x:xf>
    <x:xf numFmtId="0" fontId="17" fillId="23" borderId="5" xfId="0" applyNumberFormat="1" applyFont="1" applyFill="1" applyBorder="1" applyAlignment="1">
      <x:alignment horizontal="center" vertical="center" wrapText="1"/>
    </x:xf>
    <x:xf numFmtId="0" fontId="4" fillId="23" borderId="8" xfId="0" applyNumberFormat="1" applyFont="1" applyFill="1" applyBorder="1" applyAlignment="1">
      <x:alignment horizontal="center" vertical="center" wrapText="1"/>
    </x:xf>
    <x:xf numFmtId="0" fontId="17" fillId="23" borderId="8" xfId="0" applyNumberFormat="1" applyFont="1" applyFill="1" applyBorder="1" applyAlignment="1">
      <x:alignment horizontal="center" vertical="center" wrapText="1"/>
    </x:xf>
    <x:xf numFmtId="0" fontId="0" fillId="8" borderId="20" xfId="0" applyNumberFormat="1" applyFont="1" applyFill="1" applyBorder="1" applyAlignment="1">
      <x:alignment vertical="top" wrapText="1"/>
    </x:xf>
    <x:xf numFmtId="0" fontId="0" fillId="8" borderId="21" xfId="0" applyNumberFormat="1" applyFont="1" applyFill="1" applyBorder="1" applyAlignment="1">
      <x:alignment vertical="top" wrapText="1"/>
    </x:xf>
    <x:xf numFmtId="0" fontId="4" fillId="5" borderId="21" xfId="0" applyNumberFormat="1" applyFont="1" applyFill="1" applyBorder="1" applyAlignment="1">
      <x:alignment horizontal="center" vertical="center" wrapText="1"/>
    </x:xf>
    <x:xf numFmtId="0" fontId="0" fillId="9" borderId="21" xfId="0" applyNumberFormat="1" applyFont="1" applyFill="1" applyBorder="1" applyAlignment="1">
      <x:alignment vertical="top" wrapText="1"/>
    </x:xf>
    <x:xf numFmtId="0" fontId="17" fillId="23" borderId="21" xfId="0" applyNumberFormat="1" applyFont="1" applyFill="1" applyBorder="1" applyAlignment="1">
      <x:alignment horizontal="center" vertical="center" wrapText="1"/>
    </x:xf>
    <x:xf numFmtId="0" fontId="0" fillId="9" borderId="22" xfId="0" applyNumberFormat="1" applyFont="1" applyFill="1" applyBorder="1" applyAlignment="1">
      <x:alignment vertical="top" wrapText="1"/>
    </x:xf>
    <x:xf numFmtId="0" fontId="0" fillId="8" borderId="13" xfId="0" applyNumberFormat="1" applyFont="1" applyFill="1" applyBorder="1" applyAlignment="1">
      <x:alignment vertical="top" wrapText="1"/>
    </x:xf>
    <x:xf numFmtId="0" fontId="0" fillId="8" borderId="18" xfId="0" applyNumberFormat="1" applyFont="1" applyFill="1" applyBorder="1" applyAlignment="1">
      <x:alignment vertical="top" wrapText="1"/>
    </x:xf>
    <x:xf numFmtId="0" fontId="4" fillId="5" borderId="18" xfId="0" applyNumberFormat="1" applyFont="1" applyFill="1" applyBorder="1" applyAlignment="1">
      <x:alignment horizontal="center" vertical="center" wrapText="1"/>
    </x:xf>
    <x:xf numFmtId="0" fontId="0" fillId="9" borderId="18" xfId="0" applyNumberFormat="1" applyFont="1" applyFill="1" applyBorder="1" applyAlignment="1">
      <x:alignment vertical="top" wrapText="1"/>
    </x:xf>
    <x:xf numFmtId="0" fontId="17" fillId="23" borderId="18" xfId="0" applyNumberFormat="1" applyFont="1" applyFill="1" applyBorder="1" applyAlignment="1">
      <x:alignment horizontal="center" vertical="center" wrapText="1"/>
    </x:xf>
    <x:xf numFmtId="0" fontId="0" fillId="9" borderId="23" xfId="0" applyNumberFormat="1" applyFont="1" applyFill="1" applyBorder="1" applyAlignment="1">
      <x:alignment vertical="top" wrapText="1"/>
    </x:xf>
    <x:xf numFmtId="0" fontId="0" fillId="8" borderId="24" xfId="0" applyNumberFormat="1" applyFont="1" applyFill="1" applyBorder="1" applyAlignment="1">
      <x:alignment vertical="top" wrapText="1"/>
    </x:xf>
    <x:xf numFmtId="0" fontId="0" fillId="8" borderId="25" xfId="0" applyNumberFormat="1" applyFont="1" applyFill="1" applyBorder="1" applyAlignment="1">
      <x:alignment vertical="top" wrapText="1"/>
    </x:xf>
    <x:xf numFmtId="0" fontId="17" fillId="23" borderId="25" xfId="0" applyNumberFormat="1" applyFont="1" applyFill="1" applyBorder="1" applyAlignment="1">
      <x:alignment horizontal="center" vertical="center" wrapText="1"/>
    </x:xf>
    <x:xf numFmtId="0" fontId="0" fillId="9" borderId="25" xfId="0" applyNumberFormat="1" applyFont="1" applyFill="1" applyBorder="1" applyAlignment="1">
      <x:alignment vertical="top" wrapText="1"/>
    </x:xf>
    <x:xf numFmtId="0" fontId="4" fillId="5" borderId="25" xfId="0" applyNumberFormat="1" applyFont="1" applyFill="1" applyBorder="1" applyAlignment="1">
      <x:alignment horizontal="center" vertical="center" wrapText="1"/>
    </x:xf>
    <x:xf numFmtId="0" fontId="0" fillId="9" borderId="26" xfId="0" applyNumberFormat="1" applyFont="1" applyFill="1" applyBorder="1" applyAlignment="1">
      <x:alignment vertical="top" wrapText="1"/>
    </x:xf>
    <x:xf numFmtId="0" fontId="4" fillId="21" borderId="4" xfId="0" applyNumberFormat="1" applyFont="1" applyFill="1" applyBorder="1" applyAlignment="1">
      <x:alignment horizontal="center" vertical="center" wrapText="1"/>
    </x:xf>
    <x:xf numFmtId="0" fontId="0" fillId="21" borderId="5" xfId="0" applyNumberFormat="1" applyFont="1" applyFill="1" applyBorder="1" applyAlignment="1">
      <x:alignment vertical="top" wrapText="1"/>
    </x:xf>
    <x:xf numFmtId="0" fontId="0" fillId="21" borderId="6" xfId="0" applyNumberFormat="1" applyFont="1" applyFill="1" applyBorder="1" applyAlignment="1">
      <x:alignment vertical="top" wrapText="1"/>
    </x:xf>
    <x:xf numFmtId="0" fontId="18" fillId="21" borderId="4" xfId="0" applyNumberFormat="1" applyFont="1" applyFill="1" applyBorder="1" applyAlignment="1">
      <x:alignment horizontal="center" vertical="center" wrapText="1"/>
    </x:xf>
    <x:xf numFmtId="0" fontId="19" fillId="21" borderId="5" xfId="0" applyNumberFormat="1" applyFont="1" applyFill="1" applyBorder="1" applyAlignment="1">
      <x:alignment vertical="top" wrapText="1"/>
    </x:xf>
    <x:xf numFmtId="0" fontId="19" fillId="21" borderId="6" xfId="0" applyNumberFormat="1" applyFont="1" applyFill="1" applyBorder="1" applyAlignment="1">
      <x:alignment vertical="top" wrapText="1"/>
    </x:xf>
    <x:xf numFmtId="0" fontId="18" fillId="21" borderId="4" xfId="0" applyNumberFormat="1" applyFont="1" applyFill="1" applyBorder="1" applyAlignment="1">
      <x:alignment horizontal="center" vertical="top" wrapText="1"/>
    </x:xf>
    <x:xf numFmtId="0" fontId="6" fillId="21" borderId="7" xfId="0" applyNumberFormat="1" applyFont="1" applyFill="1" applyBorder="1" applyAlignment="1">
      <x:alignment horizontal="center" vertical="top" wrapText="1"/>
    </x:xf>
    <x:xf numFmtId="0" fontId="7" fillId="21" borderId="8" xfId="0" applyNumberFormat="1" applyFont="1" applyFill="1" applyBorder="1" applyAlignment="1">
      <x:alignment vertical="top" wrapText="1"/>
    </x:xf>
    <x:xf numFmtId="0" fontId="7" fillId="21" borderId="9" xfId="0" applyNumberFormat="1" applyFont="1" applyFill="1" applyBorder="1" applyAlignment="1">
      <x:alignment vertical="top" wrapText="1"/>
    </x:xf>
    <x:xf numFmtId="0" fontId="13" fillId="21" borderId="7" xfId="0" applyNumberFormat="1" applyFont="1" applyFill="1" applyBorder="1" applyAlignment="1">
      <x:alignment horizontal="center" vertical="top" wrapText="1"/>
    </x:xf>
    <x:xf numFmtId="0" fontId="11" fillId="21" borderId="8" xfId="0" applyNumberFormat="1" applyFont="1" applyFill="1" applyBorder="1" applyAlignment="1">
      <x:alignment vertical="top" wrapText="1"/>
    </x:xf>
    <x:xf numFmtId="0" fontId="11" fillId="21" borderId="9" xfId="0" applyNumberFormat="1" applyFont="1" applyFill="1" applyBorder="1" applyAlignment="1">
      <x:alignment vertical="top" wrapText="1"/>
    </x:xf>
    <x:xf numFmtId="0" fontId="8" fillId="19" borderId="0" xfId="0" applyNumberFormat="1" applyFont="1" applyFill="1" applyBorder="1"/>
    <x:xf numFmtId="0" fontId="8" fillId="19" borderId="0" xfId="0" applyNumberFormat="1" applyFont="1" applyFill="1" applyBorder="1" applyAlignment="1">
      <x:alignment horizontal="left"/>
    </x:xf>
    <x:xf numFmtId="0" fontId="8" fillId="19" borderId="0" xfId="0" applyNumberFormat="1" applyFont="1" applyFill="1" applyBorder="1" applyAlignment="1">
      <x:alignment horizontal="left" vertical="center"/>
    </x:xf>
    <x:xf numFmtId="0" fontId="3" fillId="17" borderId="0" xfId="0" applyNumberFormat="1" applyFont="1" applyFill="1" applyBorder="1" applyAlignment="1">
      <x:alignment horizontal="center"/>
    </x:xf>
    <x:xf numFmtId="0" fontId="0" fillId="18" borderId="0" xfId="0" applyNumberFormat="1" applyFont="1" applyFill="1" applyBorder="1"/>
    <x:xf numFmtId="0" fontId="0" fillId="18" borderId="11" xfId="0" applyNumberFormat="1" applyFont="1" applyFill="1" applyBorder="1"/>
    <x:xf numFmtId="0" fontId="0" fillId="18" borderId="12" xfId="0" applyNumberFormat="1" applyFont="1" applyFill="1" applyBorder="1"/>
    <x:xf numFmtId="0" fontId="0" fillId="18" borderId="13" xfId="0" applyNumberFormat="1" applyFont="1" applyFill="1" applyBorder="1"/>
    <x:xf numFmtId="0" fontId="0" fillId="18" borderId="14" xfId="0" applyNumberFormat="1" applyFont="1" applyFill="1" applyBorder="1"/>
    <x:xf numFmtId="0" fontId="0" fillId="18" borderId="15" xfId="0" applyNumberFormat="1" applyFont="1" applyFill="1" applyBorder="1"/>
    <x:xf numFmtId="0" fontId="0" fillId="18" borderId="16" xfId="0" applyNumberFormat="1" applyFont="1" applyFill="1" applyBorder="1"/>
    <x:xf numFmtId="0" fontId="0" fillId="18" borderId="11" xfId="0" applyNumberFormat="1" applyFont="1" applyFill="1" applyBorder="1" applyAlignment="1">
      <x:alignment horizontal="center"/>
    </x:xf>
    <x:xf numFmtId="0" fontId="0" fillId="18" borderId="12" xfId="0" applyNumberFormat="1" applyFont="1" applyFill="1" applyBorder="1" applyAlignment="1">
      <x:alignment horizontal="center"/>
    </x:xf>
    <x:xf numFmtId="0" fontId="0" fillId="18" borderId="13" xfId="0" applyNumberFormat="1" applyFont="1" applyFill="1" applyBorder="1" applyAlignment="1">
      <x:alignment horizontal="center"/>
    </x:xf>
    <x:xf numFmtId="0" fontId="0" fillId="18" borderId="14" xfId="0" applyNumberFormat="1" applyFont="1" applyFill="1" applyBorder="1" applyAlignment="1">
      <x:alignment horizontal="center"/>
    </x:xf>
    <x:xf numFmtId="0" fontId="0" fillId="18" borderId="15" xfId="0" applyNumberFormat="1" applyFont="1" applyFill="1" applyBorder="1" applyAlignment="1">
      <x:alignment horizontal="center"/>
    </x:xf>
    <x:xf numFmtId="0" fontId="0" fillId="18" borderId="16" xfId="0" applyNumberFormat="1" applyFont="1" applyFill="1" applyBorder="1" applyAlignment="1">
      <x:alignment horizontal="center"/>
    </x:xf>
    <x:xf numFmtId="0" fontId="0" fillId="18" borderId="11" xfId="0" applyNumberFormat="1" applyFont="1" applyFill="1" applyBorder="1" applyAlignment="1">
      <x:alignment horizontal="center" vertical="center"/>
    </x:xf>
    <x:xf numFmtId="0" fontId="0" fillId="18" borderId="12" xfId="0" applyNumberFormat="1" applyFont="1" applyFill="1" applyBorder="1" applyAlignment="1">
      <x:alignment horizontal="center" vertical="center"/>
    </x:xf>
    <x:xf numFmtId="0" fontId="0" fillId="18" borderId="13" xfId="0" applyNumberFormat="1" applyFont="1" applyFill="1" applyBorder="1" applyAlignment="1">
      <x:alignment horizontal="center" vertical="center"/>
    </x:xf>
    <x:xf numFmtId="0" fontId="0" fillId="18" borderId="14" xfId="0" applyNumberFormat="1" applyFont="1" applyFill="1" applyBorder="1" applyAlignment="1">
      <x:alignment horizontal="center" vertical="center"/>
    </x:xf>
    <x:xf numFmtId="0" fontId="0" fillId="18" borderId="15" xfId="0" applyNumberFormat="1" applyFont="1" applyFill="1" applyBorder="1" applyAlignment="1">
      <x:alignment horizontal="center" vertical="center"/>
    </x:xf>
    <x:xf numFmtId="0" fontId="0" fillId="18" borderId="16" xfId="0" applyNumberFormat="1" applyFont="1" applyFill="1" applyBorder="1" applyAlignment="1">
      <x:alignment horizontal="center" vertical="center"/>
    </x:xf>
    <x:xf numFmtId="0" fontId="9" fillId="20" borderId="0" xfId="0" applyNumberFormat="1" applyFont="1" applyFill="1" applyBorder="1" applyAlignment="1">
      <x:alignment vertical="center" wrapText="1"/>
    </x:xf>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3" fillId="19" borderId="0" xfId="0" applyNumberFormat="1" applyFont="1" applyFill="1" applyBorder="1" applyAlignment="1">
      <x:alignment horizontal="center" vertical="center" wrapText="1"/>
    </x:xf>
    <x:xf numFmtId="0" fontId="9" fillId="18" borderId="11" xfId="0" applyNumberFormat="1" applyFont="1" applyFill="1" applyBorder="1" applyAlignment="1">
      <x:alignment vertical="top" wrapText="1"/>
    </x:xf>
    <x:xf numFmtId="0" fontId="9" fillId="18" borderId="13" xfId="0" applyNumberFormat="1" applyFont="1" applyFill="1" applyBorder="1" applyAlignment="1">
      <x:alignment vertical="top" wrapText="1"/>
    </x:xf>
    <x:xf numFmtId="0" fontId="9" fillId="18" borderId="15" xfId="0" applyNumberFormat="1" applyFont="1" applyFill="1" applyBorder="1" applyAlignment="1">
      <x:alignment vertical="top" wrapText="1"/>
    </x:xf>
    <x:xf numFmtId="0" fontId="9" fillId="18" borderId="11" xfId="0" applyNumberFormat="1" applyFont="1" applyFill="1" applyBorder="1" applyAlignment="1">
      <x:alignment horizontal="center" vertical="top" wrapText="1"/>
    </x:xf>
    <x:xf numFmtId="0" fontId="9" fillId="18" borderId="13" xfId="0" applyNumberFormat="1" applyFont="1" applyFill="1" applyBorder="1" applyAlignment="1">
      <x:alignment horizontal="center" vertical="top" wrapText="1"/>
    </x:xf>
    <x:xf numFmtId="0" fontId="9" fillId="18" borderId="15" xfId="0" applyNumberFormat="1" applyFont="1" applyFill="1" applyBorder="1" applyAlignment="1">
      <x:alignment horizontal="center" vertical="top" wrapText="1"/>
    </x:xf>
    <x:xf numFmtId="0" fontId="9" fillId="18" borderId="11" xfId="0" applyNumberFormat="1" applyFont="1" applyFill="1" applyBorder="1" applyAlignment="1">
      <x:alignment horizontal="center" vertical="center" wrapText="1"/>
    </x:xf>
    <x:xf numFmtId="0" fontId="9" fillId="18" borderId="13" xfId="0" applyNumberFormat="1" applyFont="1" applyFill="1" applyBorder="1" applyAlignment="1">
      <x:alignment horizontal="center" vertical="center" wrapText="1"/>
    </x:xf>
    <x:xf numFmtId="0" fontId="9" fillId="18" borderId="15" xfId="0" applyNumberFormat="1" applyFont="1" applyFill="1" applyBorder="1" applyAlignment="1">
      <x:alignment horizontal="center" vertical="center" wrapText="1"/>
    </x:xf>
    <x:xf numFmtId="0" fontId="9" fillId="23" borderId="17" xfId="0" applyNumberFormat="1" applyFont="1" applyFill="1" applyBorder="1" applyAlignment="1">
      <x:alignment vertical="top" wrapText="1"/>
    </x:xf>
    <x:xf numFmtId="0" fontId="9" fillId="23" borderId="18" xfId="0" applyNumberFormat="1" applyFont="1" applyFill="1" applyBorder="1" applyAlignment="1">
      <x:alignment vertical="top" wrapText="1"/>
    </x:xf>
    <x:xf numFmtId="0" fontId="9" fillId="23" borderId="19" xfId="0" applyNumberFormat="1" applyFont="1" applyFill="1" applyBorder="1" applyAlignment="1">
      <x:alignment vertical="top" wrapText="1"/>
    </x:xf>
    <x:xf numFmtId="0" fontId="10" fillId="23" borderId="17" xfId="0" applyNumberFormat="1" applyFont="1" applyFill="1" applyBorder="1" applyAlignment="1">
      <x:alignment vertical="top" wrapText="1"/>
    </x:xf>
    <x:xf numFmtId="0" fontId="10" fillId="23" borderId="18" xfId="0" applyNumberFormat="1" applyFont="1" applyFill="1" applyBorder="1" applyAlignment="1">
      <x:alignment vertical="top" wrapText="1"/>
    </x:xf>
    <x:xf numFmtId="0" fontId="10" fillId="23" borderId="19" xfId="0" applyNumberFormat="1" applyFont="1" applyFill="1" applyBorder="1" applyAlignment="1">
      <x:alignment vertical="top" wrapText="1"/>
    </x:xf>
    <x:xf numFmtId="0" fontId="9" fillId="21" borderId="12" xfId="0" applyNumberFormat="1" applyFont="1" applyFill="1" applyBorder="1" applyAlignment="1">
      <x:alignment vertical="top" wrapText="1"/>
    </x:xf>
    <x:xf numFmtId="0" fontId="9" fillId="21" borderId="14" xfId="0" applyNumberFormat="1" applyFont="1" applyFill="1" applyBorder="1" applyAlignment="1">
      <x:alignment vertical="top" wrapText="1"/>
    </x:xf>
    <x:xf numFmtId="0" fontId="9" fillId="21" borderId="16" xfId="0" applyNumberFormat="1" applyFont="1" applyFill="1" applyBorder="1" applyAlignment="1">
      <x:alignment vertical="top" wrapText="1"/>
    </x:xf>
    <x:xf numFmtId="0" fontId="11" fillId="21" borderId="12" xfId="0" applyNumberFormat="1" applyFont="1" applyFill="1" applyBorder="1" applyAlignment="1">
      <x:alignment vertical="top" wrapText="1"/>
    </x:xf>
    <x:xf numFmtId="0" fontId="11" fillId="21" borderId="14" xfId="0" applyNumberFormat="1" applyFont="1" applyFill="1" applyBorder="1" applyAlignment="1">
      <x:alignment vertical="top" wrapText="1"/>
    </x:xf>
    <x:xf numFmtId="0" fontId="11" fillId="21" borderId="16" xfId="0" applyNumberFormat="1" applyFont="1" applyFill="1" applyBorder="1" applyAlignment="1">
      <x:alignment vertical="top" wrapText="1"/>
    </x:xf>
    <x:xf numFmtId="0" fontId="0" fillId="0" borderId="11" xfId="0" applyNumberFormat="1" applyFont="1" applyFill="1" applyBorder="1" applyAlignment="1">
      <x:alignment horizontal="center"/>
    </x:xf>
    <x:xf numFmtId="0" fontId="0" fillId="0" borderId="12" xfId="0" applyNumberFormat="1" applyFont="1" applyFill="1" applyBorder="1" applyAlignment="1">
      <x:alignment horizontal="center"/>
    </x:xf>
    <x:xf numFmtId="0" fontId="0" fillId="0" borderId="13" xfId="0" applyNumberFormat="1" applyFont="1" applyFill="1" applyBorder="1" applyAlignment="1">
      <x:alignment horizontal="center"/>
    </x:xf>
    <x:xf numFmtId="0" fontId="0" fillId="0" borderId="14" xfId="0" applyNumberFormat="1" applyFont="1" applyFill="1" applyBorder="1" applyAlignment="1">
      <x:alignment horizontal="center"/>
    </x:xf>
    <x:xf numFmtId="0" fontId="0" fillId="0" borderId="15" xfId="0" applyNumberFormat="1" applyFont="1" applyFill="1" applyBorder="1" applyAlignment="1">
      <x:alignment horizontal="center"/>
    </x:xf>
    <x:xf numFmtId="0" fontId="0" fillId="0" borderId="16" xfId="0" applyNumberFormat="1" applyFont="1" applyFill="1" applyBorder="1" applyAlignment="1">
      <x:alignment horizontal="center"/>
    </x:xf>
    <x:xf numFmtId="0" fontId="0" fillId="0" borderId="11" xfId="0" applyNumberFormat="1" applyFont="1" applyFill="1" applyBorder="1" applyAlignment="1">
      <x:alignment horizontal="center" vertical="center"/>
    </x:xf>
    <x:xf numFmtId="0" fontId="0" fillId="0" borderId="12" xfId="0" applyNumberFormat="1" applyFont="1" applyFill="1" applyBorder="1" applyAlignment="1">
      <x:alignment horizontal="center" vertical="center"/>
    </x:xf>
    <x:xf numFmtId="0" fontId="0" fillId="0" borderId="13" xfId="0" applyNumberFormat="1" applyFont="1" applyFill="1" applyBorder="1" applyAlignment="1">
      <x:alignment horizontal="center" vertical="center"/>
    </x:xf>
    <x:xf numFmtId="0" fontId="0" fillId="0" borderId="14" xfId="0" applyNumberFormat="1" applyFont="1" applyFill="1" applyBorder="1" applyAlignment="1">
      <x:alignment horizontal="center" vertical="center"/>
    </x:xf>
    <x:xf numFmtId="0" fontId="0" fillId="0" borderId="15" xfId="0" applyNumberFormat="1" applyFont="1" applyFill="1" applyBorder="1" applyAlignment="1">
      <x:alignment horizontal="center" vertical="center"/>
    </x:xf>
    <x:xf numFmtId="0" fontId="0" fillId="0" borderId="16" xfId="0" applyNumberFormat="1" applyFont="1" applyFill="1" applyBorder="1" applyAlignment="1">
      <x:alignment horizontal="center" vertical="center"/>
    </x:xf>
    <x:xf numFmtId="0" fontId="0" fillId="20" borderId="11" xfId="0" applyNumberFormat="1" applyFont="1" applyFill="1" applyBorder="1" applyAlignment="1">
      <x:alignment horizontal="center" vertical="center"/>
    </x:xf>
    <x:xf numFmtId="0" fontId="0" fillId="20" borderId="12" xfId="0" applyNumberFormat="1" applyFont="1" applyFill="1" applyBorder="1" applyAlignment="1">
      <x:alignment horizontal="center" vertical="center"/>
    </x:xf>
    <x:xf numFmtId="0" fontId="0" fillId="24" borderId="13" xfId="0" applyNumberFormat="1" applyFont="1" applyFill="1" applyBorder="1" applyAlignment="1">
      <x:alignment horizontal="center" vertical="center"/>
    </x:xf>
    <x:xf numFmtId="0" fontId="0" fillId="24" borderId="14" xfId="0" applyNumberFormat="1" applyFont="1" applyFill="1" applyBorder="1" applyAlignment="1">
      <x:alignment horizontal="center" vertical="center"/>
    </x:xf>
    <x:xf numFmtId="0" fontId="0" fillId="22" borderId="15" xfId="0" applyNumberFormat="1" applyFont="1" applyFill="1" applyBorder="1" applyAlignment="1">
      <x:alignment horizontal="center" vertical="center"/>
    </x:xf>
    <x:xf numFmtId="0" fontId="0" fillId="22" borderId="16" xfId="0" applyNumberFormat="1" applyFont="1" applyFill="1" applyBorder="1" applyAlignment="1">
      <x:alignment horizontal="center" vertical="center"/>
    </x:xf>
    <x:xf numFmtId="0" fontId="9" fillId="21" borderId="0" xfId="0" applyNumberFormat="1" applyFont="1" applyFill="1" applyBorder="1"/>
    <x:xf numFmtId="0" fontId="9" fillId="21" borderId="0" xfId="0" applyNumberFormat="1" applyFont="1" applyFill="1" applyBorder="1" applyAlignment="1">
      <x:alignment wrapText="1"/>
    </x:xf>
    <x:xf numFmtId="0" fontId="9" fillId="21" borderId="0" xfId="0" applyNumberFormat="1" applyFont="1" applyFill="1" applyBorder="1" applyAlignment="1">
      <x:alignment vertical="top" wrapText="1"/>
    </x:xf>
    <x:xf numFmtId="0" fontId="14" fillId="0" borderId="17" xfId="0" applyNumberFormat="1" applyFont="1" applyFill="1" applyBorder="1" applyAlignment="1">
      <x:alignment vertical="top" wrapText="1"/>
    </x:xf>
    <x:xf numFmtId="0" fontId="14" fillId="0" borderId="18" xfId="0" applyNumberFormat="1" applyFont="1" applyFill="1" applyBorder="1" applyAlignment="1">
      <x:alignment vertical="top" wrapText="1"/>
    </x:xf>
    <x:xf numFmtId="0" fontId="14" fillId="0" borderId="19" xfId="0" applyNumberFormat="1" applyFont="1" applyFill="1" applyBorder="1" applyAlignment="1">
      <x:alignment vertical="top" wrapText="1"/>
    </x:xf>
    <x:xf numFmtId="0" fontId="14" fillId="0" borderId="17" xfId="0" applyNumberFormat="1" applyFont="1" applyFill="1" applyBorder="1" applyAlignment="1">
      <x:alignment horizontal="center" vertical="top" wrapText="1"/>
    </x:xf>
    <x:xf numFmtId="0" fontId="14" fillId="0" borderId="18" xfId="0" applyNumberFormat="1" applyFont="1" applyFill="1" applyBorder="1" applyAlignment="1">
      <x:alignment horizontal="center" vertical="top" wrapText="1"/>
    </x:xf>
    <x:xf numFmtId="0" fontId="14" fillId="0" borderId="19" xfId="0" applyNumberFormat="1" applyFont="1" applyFill="1" applyBorder="1" applyAlignment="1">
      <x:alignment horizontal="center" vertical="top" wrapText="1"/>
    </x:xf>
    <x:xf numFmtId="0" fontId="14" fillId="0" borderId="17" xfId="0" applyNumberFormat="1" applyFont="1" applyFill="1" applyBorder="1" applyAlignment="1">
      <x:alignment horizontal="center" vertical="center" wrapText="1"/>
    </x:xf>
    <x:xf numFmtId="0" fontId="14" fillId="0" borderId="18" xfId="0" applyNumberFormat="1" applyFont="1" applyFill="1" applyBorder="1" applyAlignment="1">
      <x:alignment horizontal="center" vertical="center" wrapText="1"/>
    </x:xf>
    <x:xf numFmtId="0" fontId="14" fillId="0" borderId="19" xfId="0" applyNumberFormat="1" applyFont="1" applyFill="1" applyBorder="1" applyAlignment="1">
      <x:alignment horizontal="center" vertical="center" wrapText="1"/>
    </x:xf>
    <x:xf numFmtId="0" fontId="14" fillId="20" borderId="17" xfId="0" applyNumberFormat="1" applyFont="1" applyFill="1" applyBorder="1" applyAlignment="1">
      <x:alignment horizontal="center" vertical="center" wrapText="1"/>
    </x:xf>
    <x:xf numFmtId="0" fontId="14" fillId="20" borderId="18" xfId="0" applyNumberFormat="1" applyFont="1" applyFill="1" applyBorder="1" applyAlignment="1">
      <x:alignment horizontal="center" vertical="center" wrapText="1"/>
    </x:xf>
    <x:xf numFmtId="0" fontId="14" fillId="20" borderId="19" xfId="0" applyNumberFormat="1" applyFont="1" applyFill="1" applyBorder="1" applyAlignment="1">
      <x:alignment horizontal="center" vertical="center" wrapText="1"/>
    </x:xf>
    <x:xf numFmtId="0" fontId="14" fillId="22" borderId="18" xfId="0" applyNumberFormat="1" applyFont="1" applyFill="1" applyBorder="1" applyAlignment="1">
      <x:alignment horizontal="center" vertical="center" wrapText="1"/>
    </x:xf>
    <x:xf numFmtId="0" fontId="20" fillId="22" borderId="18" xfId="0" applyNumberFormat="1" applyFont="1" applyFill="1" applyBorder="1" applyAlignment="1">
      <x:alignment horizontal="center" vertical="center" wrapText="1"/>
    </x:xf>
    <x:xf numFmtId="0" fontId="3" fillId="17" borderId="0" xfId="0" applyNumberFormat="1" applyFont="1" applyFill="1" applyBorder="1" applyAlignment="1">
      <x:alignment wrapText="1"/>
    </x:xf>
    <x:xf numFmtId="0" fontId="21" fillId="0" borderId="0" xfId="0" applyNumberFormat="1" applyFont="1" applyFill="1" applyBorder="1"/>
    <x:xf numFmtId="0" fontId="21" fillId="0" borderId="11" xfId="0" applyNumberFormat="1" applyFont="1" applyFill="1" applyBorder="1"/>
    <x:xf numFmtId="0" fontId="21" fillId="0" borderId="17" xfId="0" applyNumberFormat="1" applyFont="1" applyFill="1" applyBorder="1"/>
    <x:xf numFmtId="0" fontId="21" fillId="0" borderId="12" xfId="0" applyNumberFormat="1" applyFont="1" applyFill="1" applyBorder="1"/>
    <x:xf numFmtId="0" fontId="21" fillId="0" borderId="13" xfId="0" applyNumberFormat="1" applyFont="1" applyFill="1" applyBorder="1"/>
    <x:xf numFmtId="0" fontId="21" fillId="0" borderId="18" xfId="0" applyNumberFormat="1" applyFont="1" applyFill="1" applyBorder="1"/>
    <x:xf numFmtId="0" fontId="21" fillId="0" borderId="14" xfId="0" applyNumberFormat="1" applyFont="1" applyFill="1" applyBorder="1"/>
    <x:xf numFmtId="0" fontId="21" fillId="0" borderId="15" xfId="0" applyNumberFormat="1" applyFont="1" applyFill="1" applyBorder="1"/>
    <x:xf numFmtId="0" fontId="21" fillId="0" borderId="19" xfId="0" applyNumberFormat="1" applyFont="1" applyFill="1" applyBorder="1"/>
    <x:xf numFmtId="0" fontId="21" fillId="0" borderId="16" xfId="0" applyNumberFormat="1" applyFont="1" applyFill="1" applyBorder="1"/>
    <x:xf numFmtId="0" fontId="21" fillId="0" borderId="11" xfId="0" applyNumberFormat="1" applyFont="1" applyFill="1" applyBorder="1" applyAlignment="1">
      <x:alignment wrapText="1"/>
    </x:xf>
    <x:xf numFmtId="0" fontId="21" fillId="0" borderId="17" xfId="0" applyNumberFormat="1" applyFont="1" applyFill="1" applyBorder="1" applyAlignment="1">
      <x:alignment wrapText="1"/>
    </x:xf>
    <x:xf numFmtId="0" fontId="21" fillId="0" borderId="12" xfId="0" applyNumberFormat="1" applyFont="1" applyFill="1" applyBorder="1" applyAlignment="1">
      <x:alignment wrapText="1"/>
    </x:xf>
    <x:xf numFmtId="0" fontId="21" fillId="0" borderId="13" xfId="0" applyNumberFormat="1" applyFont="1" applyFill="1" applyBorder="1" applyAlignment="1">
      <x:alignment wrapText="1"/>
    </x:xf>
    <x:xf numFmtId="0" fontId="21" fillId="0" borderId="18" xfId="0" applyNumberFormat="1" applyFont="1" applyFill="1" applyBorder="1" applyAlignment="1">
      <x:alignment wrapText="1"/>
    </x:xf>
    <x:xf numFmtId="0" fontId="21" fillId="0" borderId="14" xfId="0" applyNumberFormat="1" applyFont="1" applyFill="1" applyBorder="1" applyAlignment="1">
      <x:alignment wrapText="1"/>
    </x:xf>
    <x:xf numFmtId="0" fontId="21" fillId="0" borderId="15" xfId="0" applyNumberFormat="1" applyFont="1" applyFill="1" applyBorder="1" applyAlignment="1">
      <x:alignment wrapText="1"/>
    </x:xf>
    <x:xf numFmtId="0" fontId="21" fillId="0" borderId="19" xfId="0" applyNumberFormat="1" applyFont="1" applyFill="1" applyBorder="1" applyAlignment="1">
      <x:alignment wrapText="1"/>
    </x:xf>
    <x:xf numFmtId="0" fontId="21" fillId="0" borderId="16" xfId="0" applyNumberFormat="1" applyFont="1" applyFill="1" applyBorder="1" applyAlignment="1">
      <x:alignment wrapText="1"/>
    </x:xf>
    <x:xf numFmtId="0" fontId="21" fillId="0" borderId="11" xfId="0" applyNumberFormat="1" applyFont="1" applyFill="1" applyBorder="1" applyAlignment="1">
      <x:alignment vertical="top" wrapText="1"/>
    </x:xf>
    <x:xf numFmtId="0" fontId="21" fillId="0" borderId="17" xfId="0" applyNumberFormat="1" applyFont="1" applyFill="1" applyBorder="1" applyAlignment="1">
      <x:alignment vertical="top" wrapText="1"/>
    </x:xf>
    <x:xf numFmtId="0" fontId="21" fillId="0" borderId="12" xfId="0" applyNumberFormat="1" applyFont="1" applyFill="1" applyBorder="1" applyAlignment="1">
      <x:alignment vertical="top" wrapText="1"/>
    </x:xf>
    <x:xf numFmtId="0" fontId="21" fillId="0" borderId="13" xfId="0" applyNumberFormat="1" applyFont="1" applyFill="1" applyBorder="1" applyAlignment="1">
      <x:alignment vertical="top" wrapText="1"/>
    </x:xf>
    <x:xf numFmtId="0" fontId="21" fillId="0" borderId="18" xfId="0" applyNumberFormat="1" applyFont="1" applyFill="1" applyBorder="1" applyAlignment="1">
      <x:alignment vertical="top" wrapText="1"/>
    </x:xf>
    <x:xf numFmtId="0" fontId="21" fillId="0" borderId="14" xfId="0" applyNumberFormat="1" applyFont="1" applyFill="1" applyBorder="1" applyAlignment="1">
      <x:alignment vertical="top" wrapText="1"/>
    </x:xf>
    <x:xf numFmtId="0" fontId="21" fillId="0" borderId="15" xfId="0" applyNumberFormat="1" applyFont="1" applyFill="1" applyBorder="1" applyAlignment="1">
      <x:alignment vertical="top" wrapText="1"/>
    </x:xf>
    <x:xf numFmtId="0" fontId="21" fillId="0" borderId="19" xfId="0" applyNumberFormat="1" applyFont="1" applyFill="1" applyBorder="1" applyAlignment="1">
      <x:alignment vertical="top" wrapText="1"/>
    </x:xf>
    <x:xf numFmtId="0" fontId="21" fillId="0" borderId="16" xfId="0" applyNumberFormat="1" applyFont="1" applyFill="1" applyBorder="1" applyAlignment="1">
      <x:alignment vertical="top" wrapText="1"/>
    </x:xf>
    <x:xf numFmtId="0" fontId="21" fillId="23" borderId="11" xfId="0" applyNumberFormat="1" applyFont="1" applyFill="1" applyBorder="1" applyAlignment="1">
      <x:alignment vertical="top" wrapText="1"/>
    </x:xf>
    <x:xf numFmtId="0" fontId="21" fillId="23" borderId="13" xfId="0" applyNumberFormat="1" applyFont="1" applyFill="1" applyBorder="1" applyAlignment="1">
      <x:alignment vertical="top" wrapText="1"/>
    </x:xf>
    <x:xf numFmtId="0" fontId="21" fillId="23" borderId="15" xfId="0" applyNumberFormat="1" applyFont="1" applyFill="1" applyBorder="1" applyAlignment="1">
      <x:alignment vertical="top" wrapText="1"/>
    </x:xf>
    <x:xf numFmtId="0" fontId="22" fillId="23" borderId="11" xfId="0" applyNumberFormat="1" applyFont="1" applyFill="1" applyBorder="1" applyAlignment="1">
      <x:alignment vertical="top" wrapText="1"/>
    </x:xf>
    <x:xf numFmtId="0" fontId="22" fillId="23" borderId="13" xfId="0" applyNumberFormat="1" applyFont="1" applyFill="1" applyBorder="1" applyAlignment="1">
      <x:alignment vertical="top" wrapText="1"/>
    </x:xf>
    <x:xf numFmtId="0" fontId="22" fillId="23" borderId="15" xfId="0" applyNumberFormat="1" applyFont="1" applyFill="1" applyBorder="1" applyAlignment="1">
      <x:alignment vertical="top" wrapText="1"/>
    </x:xf>
    <x:xf numFmtId="0" fontId="22" fillId="23" borderId="11" xfId="0" applyNumberFormat="1" applyFont="1" applyFill="1" applyBorder="1" applyAlignment="1">
      <x:alignment horizontal="center" vertical="top" wrapText="1"/>
    </x:xf>
    <x:xf numFmtId="0" fontId="22" fillId="23" borderId="13" xfId="0" applyNumberFormat="1" applyFont="1" applyFill="1" applyBorder="1" applyAlignment="1">
      <x:alignment horizontal="center" vertical="top" wrapText="1"/>
    </x:xf>
    <x:xf numFmtId="0" fontId="22" fillId="23" borderId="15" xfId="0" applyNumberFormat="1" applyFont="1" applyFill="1" applyBorder="1" applyAlignment="1">
      <x:alignment horizontal="center" vertical="top" wrapText="1"/>
    </x:xf>
    <x:xf numFmtId="0" fontId="22" fillId="23" borderId="11" xfId="0" applyNumberFormat="1" applyFont="1" applyFill="1" applyBorder="1" applyAlignment="1">
      <x:alignment horizontal="center" vertical="center" wrapText="1"/>
    </x:xf>
    <x:xf numFmtId="0" fontId="22" fillId="23" borderId="13" xfId="0" applyNumberFormat="1" applyFont="1" applyFill="1" applyBorder="1" applyAlignment="1">
      <x:alignment horizontal="center" vertical="center" wrapText="1"/>
    </x:xf>
    <x:xf numFmtId="0" fontId="22" fillId="23" borderId="15" xfId="0" applyNumberFormat="1" applyFont="1" applyFill="1" applyBorder="1" applyAlignment="1">
      <x:alignment horizontal="center" vertical="center" wrapText="1"/>
    </x:xf>
    <x:xf numFmtId="0" fontId="22" fillId="0" borderId="17" xfId="0" applyNumberFormat="1" applyFont="1" applyFill="1" applyBorder="1" applyAlignment="1">
      <x:alignment vertical="top" wrapText="1"/>
    </x:xf>
    <x:xf numFmtId="0" fontId="22" fillId="0" borderId="18" xfId="0" applyNumberFormat="1" applyFont="1" applyFill="1" applyBorder="1" applyAlignment="1">
      <x:alignment vertical="top" wrapText="1"/>
    </x:xf>
    <x:xf numFmtId="0" fontId="22" fillId="0" borderId="19" xfId="0" applyNumberFormat="1" applyFont="1" applyFill="1" applyBorder="1" applyAlignment="1">
      <x:alignment vertical="top" wrapText="1"/>
    </x:xf>
    <x:xf numFmtId="0" fontId="22" fillId="0" borderId="17" xfId="0" applyNumberFormat="1" applyFont="1" applyFill="1" applyBorder="1" applyAlignment="1">
      <x:alignment horizontal="center" vertical="top" wrapText="1"/>
    </x:xf>
    <x:xf numFmtId="0" fontId="22" fillId="0" borderId="18" xfId="0" applyNumberFormat="1" applyFont="1" applyFill="1" applyBorder="1" applyAlignment="1">
      <x:alignment horizontal="center" vertical="top" wrapText="1"/>
    </x:xf>
    <x:xf numFmtId="0" fontId="22" fillId="0" borderId="19" xfId="0" applyNumberFormat="1" applyFont="1" applyFill="1" applyBorder="1" applyAlignment="1">
      <x:alignment horizontal="center" vertical="top" wrapText="1"/>
    </x:xf>
    <x:xf numFmtId="0" fontId="22" fillId="0" borderId="17" xfId="0" applyNumberFormat="1" applyFont="1" applyFill="1" applyBorder="1" applyAlignment="1">
      <x:alignment horizontal="center" vertical="center" wrapText="1"/>
    </x:xf>
    <x:xf numFmtId="0" fontId="22" fillId="0" borderId="18" xfId="0" applyNumberFormat="1" applyFont="1" applyFill="1" applyBorder="1" applyAlignment="1">
      <x:alignment horizontal="center" vertical="center" wrapText="1"/>
    </x:xf>
    <x:xf numFmtId="0" fontId="22" fillId="0" borderId="19" xfId="0" applyNumberFormat="1" applyFont="1" applyFill="1" applyBorder="1" applyAlignment="1">
      <x:alignment horizontal="center" vertical="center" wrapText="1"/>
    </x:xf>
    <x:xf numFmtId="0" fontId="22" fillId="22" borderId="13" xfId="0" applyNumberFormat="1" applyFont="1" applyFill="1" applyBorder="1" applyAlignment="1">
      <x:alignment horizontal="center" vertical="center" wrapText="1"/>
    </x:xf>
    <x:xf numFmtId="0" fontId="21" fillId="22" borderId="18" xfId="0" applyNumberFormat="1" applyFont="1" applyFill="1" applyBorder="1" applyAlignment="1">
      <x:alignment vertical="top" wrapText="1"/>
    </x:xf>
    <x:xf numFmtId="0" fontId="22" fillId="22" borderId="18" xfId="0" applyNumberFormat="1" applyFont="1" applyFill="1" applyBorder="1" applyAlignment="1">
      <x:alignment horizontal="center" vertical="center" wrapText="1"/>
    </x:xf>
    <x:xf numFmtId="0" fontId="21" fillId="22" borderId="14" xfId="0" applyNumberFormat="1" applyFont="1" applyFill="1" applyBorder="1" applyAlignment="1">
      <x:alignment vertical="top" wrapText="1"/>
    </x:xf>
    <x:xf numFmtId="0" fontId="0" fillId="18" borderId="27" xfId="0" applyNumberFormat="1" applyFont="1" applyFill="1" applyBorder="1"/>
    <x:xf numFmtId="0" fontId="0" fillId="18" borderId="28" xfId="0" applyNumberFormat="1" applyFont="1" applyFill="1" applyBorder="1"/>
    <x:xf numFmtId="0" fontId="0" fillId="18" borderId="29" xfId="0" applyNumberFormat="1" applyFont="1" applyFill="1" applyBorder="1"/>
    <x:xf numFmtId="0" fontId="0" fillId="18" borderId="27" xfId="0" applyNumberFormat="1" applyFont="1" applyFill="1" applyBorder="1" applyAlignment="1">
      <x:alignment wrapText="1"/>
    </x:xf>
    <x:xf numFmtId="0" fontId="0" fillId="18" borderId="28" xfId="0" applyNumberFormat="1" applyFont="1" applyFill="1" applyBorder="1" applyAlignment="1">
      <x:alignment wrapText="1"/>
    </x:xf>
    <x:xf numFmtId="0" fontId="0" fillId="18" borderId="29" xfId="0" applyNumberFormat="1" applyFont="1" applyFill="1" applyBorder="1" applyAlignment="1">
      <x:alignment wrapText="1"/>
    </x:xf>
    <x:xf numFmtId="0" fontId="0" fillId="18" borderId="27" xfId="0" applyNumberFormat="1" applyFont="1" applyFill="1" applyBorder="1" applyAlignment="1">
      <x:alignment vertical="top" wrapText="1"/>
    </x:xf>
    <x:xf numFmtId="0" fontId="0" fillId="18" borderId="28" xfId="0" applyNumberFormat="1" applyFont="1" applyFill="1" applyBorder="1" applyAlignment="1">
      <x:alignment vertical="top" wrapText="1"/>
    </x:xf>
    <x:xf numFmtId="0" fontId="0" fillId="18" borderId="29" xfId="0" applyNumberFormat="1" applyFont="1" applyFill="1" applyBorder="1" applyAlignment="1">
      <x:alignment vertical="top" wrapText="1"/>
    </x:xf>
    <x:xf numFmtId="0" fontId="12" fillId="18" borderId="27" xfId="0" applyNumberFormat="1" applyFont="1" applyFill="1" applyBorder="1" applyAlignment="1">
      <x:alignment vertical="top" wrapText="1"/>
    </x:xf>
    <x:xf numFmtId="0" fontId="12" fillId="18" borderId="27" xfId="0" applyNumberFormat="1" applyFont="1" applyFill="1" applyBorder="1" applyAlignment="1">
      <x:alignment horizontal="center" vertical="top" wrapText="1"/>
    </x:xf>
    <x:xf numFmtId="0" fontId="4" fillId="25" borderId="5" xfId="0" applyNumberFormat="1" applyFont="1" applyFill="1" applyBorder="1" applyAlignment="1">
      <x:alignment horizontal="center" vertical="center" wrapText="1"/>
    </x:xf>
    <x:xf numFmtId="0" fontId="22" fillId="25" borderId="5" xfId="0" applyNumberFormat="1" applyFont="1" applyFill="1" applyBorder="1" applyAlignment="1">
      <x:alignment horizontal="center" vertical="center" wrapText="1"/>
    </x:xf>
    <x:xf numFmtId="0" fontId="19" fillId="8" borderId="5" xfId="0" applyNumberFormat="1" applyFont="1" applyFill="1" applyBorder="1" applyAlignment="1">
      <x:alignment vertical="top" wrapText="1"/>
    </x:xf>
    <x:xf numFmtId="0" fontId="19" fillId="8" borderId="6" xfId="0" applyNumberFormat="1" applyFont="1" applyFill="1" applyBorder="1" applyAlignment="1">
      <x:alignment vertical="top" wrapText="1"/>
    </x:xf>
    <x:xf numFmtId="0" fontId="14" fillId="15" borderId="17" xfId="0" applyNumberFormat="1" applyFont="1" applyFill="1" applyBorder="1" applyAlignment="1">
      <x:alignment vertical="top" wrapText="1"/>
    </x:xf>
    <x:xf numFmtId="0" fontId="23" fillId="8" borderId="12" xfId="0" applyNumberFormat="1" applyFont="1" applyFill="1" applyBorder="1" applyAlignment="1">
      <x:alignment vertical="top" wrapText="1"/>
    </x:xf>
    <x:xf numFmtId="0" fontId="23" fillId="8" borderId="17" xfId="0" applyNumberFormat="1" applyFont="1" applyFill="1" applyBorder="1" applyAlignment="1">
      <x:alignment vertical="top" wrapText="1"/>
    </x:xf>
    <x:xf numFmtId="0" fontId="9" fillId="26" borderId="11" xfId="0" applyNumberFormat="1" applyFont="1" applyFill="1" applyBorder="1" applyAlignment="1">
      <x:alignment horizontal="center" vertical="top" wrapText="1"/>
    </x:xf>
    <x:xf numFmtId="0" fontId="9" fillId="26" borderId="11" xfId="0" applyNumberFormat="1" applyFont="1" applyFill="1" applyBorder="1" applyAlignment="1">
      <x:alignment horizontal="center" vertical="center" wrapText="1"/>
    </x:xf>
    <x:xf numFmtId="0" fontId="14" fillId="27" borderId="17" xfId="0" applyNumberFormat="1" applyFont="1" applyFill="1" applyBorder="1" applyAlignment="1">
      <x:alignment vertical="top" wrapText="1"/>
    </x:xf>
    <x:xf numFmtId="0" fontId="10" fillId="27" borderId="17" xfId="0" applyNumberFormat="1" applyFont="1" applyFill="1" applyBorder="1" applyAlignment="1">
      <x:alignment vertical="top" wrapText="1"/>
    </x:xf>
    <x:xf numFmtId="0" fontId="23" fillId="25" borderId="17" xfId="0" applyNumberFormat="1" applyFont="1" applyFill="1" applyBorder="1" applyAlignment="1">
      <x:alignment vertical="top" wrapText="1"/>
    </x:xf>
    <x:xf numFmtId="0" fontId="24" fillId="25" borderId="17" xfId="0" applyNumberFormat="1" applyFont="1" applyFill="1" applyBorder="1" applyAlignment="1">
      <x:alignment vertical="top" wrapText="1"/>
    </x:xf>
    <x:xf numFmtId="0" fontId="20" fillId="25" borderId="18" xfId="0" applyNumberFormat="1" applyFont="1" applyFill="1" applyBorder="1" applyAlignment="1">
      <x:alignment horizontal="center" vertical="center" wrapText="1"/>
    </x:xf>
    <x:xf numFmtId="0" fontId="12" fillId="25" borderId="18" xfId="0" applyNumberFormat="1" applyFont="1" applyFill="1" applyBorder="1" applyAlignment="1">
      <x:alignment horizontal="center" vertical="center" wrapText="1"/>
    </x:xf>
    <x:xf numFmtId="0" fontId="14" fillId="28" borderId="0" xfId="0" applyNumberFormat="1" applyFont="1" applyFill="1" applyBorder="1" applyAlignment="1">
      <x:alignment vertical="top" wrapText="1"/>
    </x:xf>
    <x:xf numFmtId="0" fontId="0" fillId="25" borderId="0" xfId="0" applyNumberFormat="1" applyFont="1" applyFill="1" applyBorder="1"/>
    <x:xf numFmtId="0" fontId="0" fillId="25" borderId="27" xfId="0" applyNumberFormat="1" applyFont="1" applyFill="1" applyBorder="1"/>
    <x:xf numFmtId="0" fontId="0" fillId="25" borderId="28" xfId="0" applyNumberFormat="1" applyFont="1" applyFill="1" applyBorder="1"/>
    <x:xf numFmtId="0" fontId="0" fillId="25" borderId="29" xfId="0" applyNumberFormat="1" applyFont="1" applyFill="1" applyBorder="1"/>
    <x:xf numFmtId="0" fontId="0" fillId="25" borderId="27" xfId="0" applyNumberFormat="1" applyFont="1" applyFill="1" applyBorder="1" applyAlignment="1">
      <x:alignment wrapText="1"/>
    </x:xf>
    <x:xf numFmtId="0" fontId="0" fillId="25" borderId="28" xfId="0" applyNumberFormat="1" applyFont="1" applyFill="1" applyBorder="1" applyAlignment="1">
      <x:alignment wrapText="1"/>
    </x:xf>
    <x:xf numFmtId="0" fontId="0" fillId="25" borderId="29" xfId="0" applyNumberFormat="1" applyFont="1" applyFill="1" applyBorder="1" applyAlignment="1">
      <x:alignment wrapText="1"/>
    </x:xf>
    <x:xf numFmtId="0" fontId="0" fillId="25" borderId="27" xfId="0" applyNumberFormat="1" applyFont="1" applyFill="1" applyBorder="1" applyAlignment="1">
      <x:alignment vertical="top" wrapText="1"/>
    </x:xf>
    <x:xf numFmtId="0" fontId="0" fillId="25" borderId="28" xfId="0" applyNumberFormat="1" applyFont="1" applyFill="1" applyBorder="1" applyAlignment="1">
      <x:alignment vertical="top" wrapText="1"/>
    </x:xf>
    <x:xf numFmtId="0" fontId="0" fillId="25" borderId="29" xfId="0" applyNumberFormat="1" applyFont="1" applyFill="1" applyBorder="1" applyAlignment="1">
      <x:alignment vertical="top" wrapText="1"/>
    </x:xf>
    <x:xf numFmtId="0" fontId="12" fillId="25" borderId="27" xfId="0" applyNumberFormat="1" applyFont="1" applyFill="1" applyBorder="1" applyAlignment="1">
      <x:alignment vertical="top" wrapText="1"/>
    </x:xf>
    <x:xf numFmtId="0" fontId="12" fillId="25" borderId="27" xfId="0" applyNumberFormat="1" applyFont="1" applyFill="1" applyBorder="1" applyAlignment="1">
      <x:alignment horizontal="center" vertical="top" wrapText="1"/>
    </x:xf>
    <x:xf numFmtId="0" fontId="24" fillId="29" borderId="17" xfId="0" applyNumberFormat="1" applyFont="1" applyFill="1" applyBorder="1" applyAlignment="1">
      <x:alignment vertical="top" wrapText="1"/>
    </x:xf>
    <x:xf numFmtId="0" fontId="16" fillId="30" borderId="5" xfId="0" applyNumberFormat="1" applyFont="1" applyFill="1" applyBorder="1" applyAlignment="1">
      <x:alignment horizontal="center" vertical="center" wrapText="1"/>
    </x:xf>
    <x:xf numFmtId="0" fontId="22" fillId="30" borderId="5" xfId="0" applyNumberFormat="1" applyFont="1" applyFill="1" applyBorder="1" applyAlignment="1">
      <x:alignment horizontal="center" vertical="center" wrapText="1"/>
    </x:xf>
    <x:xf numFmtId="0" fontId="16" fillId="31" borderId="5" xfId="0" applyNumberFormat="1" applyFont="1" applyFill="1" applyBorder="1" applyAlignment="1">
      <x:alignment horizontal="center" vertical="center" wrapText="1"/>
    </x:xf>
    <x:xf numFmtId="0" fontId="17" fillId="31" borderId="5" xfId="0" applyNumberFormat="1" applyFont="1" applyFill="1" applyBorder="1" applyAlignment="1">
      <x:alignment horizontal="center" vertical="center" wrapText="1"/>
    </x:xf>
    <x:xf numFmtId="0" fontId="24" fillId="30" borderId="17" xfId="0" applyNumberFormat="1" applyFont="1" applyFill="1" applyBorder="1" applyAlignment="1">
      <x:alignment vertical="top" wrapText="1"/>
    </x:xf>
    <x:xf numFmtId="0" fontId="11" fillId="30" borderId="14" xfId="0" applyNumberFormat="1" applyFont="1" applyFill="1" applyBorder="1" applyAlignment="1">
      <x:alignment vertical="top" wrapText="1"/>
    </x:xf>
    <x:xf numFmtId="0" fontId="24" fillId="30" borderId="14" xfId="0" applyNumberFormat="1" applyFont="1" applyFill="1" applyBorder="1" applyAlignment="1">
      <x:alignment vertical="top" wrapText="1"/>
    </x:xf>
    <x:xf numFmtId="0" fontId="24" fillId="30" borderId="17" xfId="0" applyNumberFormat="1" applyFont="1" applyFill="1" applyBorder="1" applyAlignment="1">
      <x:alignment vertical="center" wrapText="1"/>
    </x:xf>
    <x:xf numFmtId="0" fontId="24" fillId="30" borderId="14" xfId="0" applyNumberFormat="1" applyFont="1" applyFill="1" applyBorder="1" applyAlignment="1">
      <x:alignment vertical="center" wrapText="1"/>
    </x:xf>
    <x:xf numFmtId="0" fontId="11" fillId="32" borderId="14" xfId="0" applyNumberFormat="1" applyFont="1" applyFill="1" applyBorder="1" applyAlignment="1">
      <x:alignment vertical="top" wrapText="1"/>
    </x:xf>
    <x:xf numFmtId="0" fontId="11" fillId="32" borderId="16" xfId="0" applyNumberFormat="1" applyFont="1" applyFill="1" applyBorder="1" applyAlignment="1">
      <x:alignment vertical="top" wrapText="1"/>
    </x:xf>
    <x:xf numFmtId="0" fontId="11" fillId="32" borderId="14" xfId="0" applyNumberFormat="1" applyFont="1" applyFill="1" applyBorder="1" applyAlignment="1">
      <x:alignment vertical="center" wrapText="1"/>
    </x:xf>
    <x:xf numFmtId="0" fontId="11" fillId="32" borderId="16" xfId="0" applyNumberFormat="1" applyFont="1" applyFill="1" applyBorder="1" applyAlignment="1">
      <x:alignment vertical="center" wrapText="1"/>
    </x:xf>
    <x:xf numFmtId="0" fontId="24" fillId="30" borderId="18" xfId="0" applyNumberFormat="1" applyFont="1" applyFill="1" applyBorder="1" applyAlignment="1">
      <x:alignment vertical="center" wrapText="1"/>
    </x:xf>
    <x:xf numFmtId="0" fontId="11" fillId="32" borderId="18" xfId="0" applyNumberFormat="1" applyFont="1" applyFill="1" applyBorder="1" applyAlignment="1">
      <x:alignment vertical="center" wrapText="1"/>
    </x:xf>
    <x:xf numFmtId="0" fontId="9" fillId="0" borderId="27" xfId="0" applyNumberFormat="1" applyFont="1" applyFill="1" applyBorder="1"/>
    <x:xf numFmtId="0" fontId="9" fillId="0" borderId="28" xfId="0" applyNumberFormat="1" applyFont="1" applyFill="1" applyBorder="1"/>
    <x:xf numFmtId="0" fontId="9" fillId="0" borderId="29" xfId="0" applyNumberFormat="1" applyFont="1" applyFill="1" applyBorder="1"/>
    <x:xf numFmtId="0" fontId="9" fillId="0" borderId="27" xfId="0" applyNumberFormat="1" applyFont="1" applyFill="1" applyBorder="1" applyAlignment="1">
      <x:alignment wrapText="1"/>
    </x:xf>
    <x:xf numFmtId="0" fontId="9" fillId="0" borderId="28" xfId="0" applyNumberFormat="1" applyFont="1" applyFill="1" applyBorder="1" applyAlignment="1">
      <x:alignment wrapText="1"/>
    </x:xf>
    <x:xf numFmtId="0" fontId="9" fillId="0" borderId="29" xfId="0" applyNumberFormat="1" applyFont="1" applyFill="1" applyBorder="1" applyAlignment="1">
      <x:alignment wrapText="1"/>
    </x:xf>
    <x:xf numFmtId="0" fontId="9" fillId="0" borderId="27" xfId="0" applyNumberFormat="1" applyFont="1" applyFill="1" applyBorder="1" applyAlignment="1">
      <x:alignment vertical="top" wrapText="1"/>
    </x:xf>
    <x:xf numFmtId="0" fontId="9" fillId="0" borderId="28" xfId="0" applyNumberFormat="1" applyFont="1" applyFill="1" applyBorder="1" applyAlignment="1">
      <x:alignment vertical="top" wrapText="1"/>
    </x:xf>
    <x:xf numFmtId="0" fontId="9" fillId="0" borderId="29" xfId="0" applyNumberFormat="1" applyFont="1" applyFill="1" applyBorder="1" applyAlignment="1">
      <x:alignment vertical="top" wrapText="1"/>
    </x:xf>
    <x:xf numFmtId="0" fontId="11" fillId="33" borderId="18" xfId="0" applyNumberFormat="1" applyFont="1" applyFill="1" applyBorder="1" applyAlignment="1">
      <x:alignment vertical="center" wrapText="1"/>
    </x:xf>
    <x:xf numFmtId="0" fontId="24" fillId="33" borderId="18" xfId="0" applyNumberFormat="1" applyFont="1" applyFill="1" applyBorder="1" applyAlignment="1">
      <x:alignment vertical="center" wrapText="1"/>
    </x:xf>
    <x:xf numFmtId="0" fontId="14" fillId="8" borderId="0" xfId="0" applyNumberFormat="1" applyFont="1" applyFill="1" applyBorder="1" applyAlignment="1">
      <x:alignment vertical="top" wrapText="1"/>
    </x:xf>
    <x:xf numFmtId="0" fontId="22" fillId="14" borderId="5" xfId="0" applyNumberFormat="1" applyFont="1" applyFill="1" applyBorder="1" applyAlignment="1">
      <x:alignment horizontal="center" vertical="center" wrapText="1"/>
    </x:xf>
    <x:xf numFmtId="0" fontId="17" fillId="15" borderId="5" xfId="0" applyNumberFormat="1" applyFont="1" applyFill="1" applyBorder="1" applyAlignment="1">
      <x:alignment horizontal="center" vertical="center" wrapText="1"/>
    </x:xf>
    <x:xf numFmtId="0" fontId="24" fillId="34" borderId="17" xfId="0" applyNumberFormat="1" applyFont="1" applyFill="1" applyBorder="1" applyAlignment="1">
      <x:alignment vertical="center" wrapText="1"/>
    </x:xf>
    <x:xf numFmtId="0" fontId="24" fillId="34" borderId="1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6ed6033a9d4038" /><Relationship Type="http://schemas.openxmlformats.org/officeDocument/2006/relationships/theme" Target="/xl/theme/theme1.xml" Id="R8deb4bc52bc249fb" /><Relationship Type="http://schemas.openxmlformats.org/officeDocument/2006/relationships/sharedStrings" Target="/xl/sharedStrings.xml" Id="Rad714a3598b24bc7" /><Relationship Type="http://schemas.openxmlformats.org/officeDocument/2006/relationships/worksheet" Target="/xl/worksheets/sheet1.xml" Id="R3050c553c5ec4515" /><Relationship Type="http://schemas.openxmlformats.org/officeDocument/2006/relationships/worksheet" Target="/xl/worksheets/sheet2.xml" Id="Rec065f48f56a4759" /><Relationship Type="http://schemas.openxmlformats.org/officeDocument/2006/relationships/worksheet" Target="/xl/worksheets/sheet3.xml" Id="Rcf2d1e2ccf0b4209" /><Relationship Type="http://schemas.openxmlformats.org/officeDocument/2006/relationships/worksheet" Target="/xl/worksheets/sheet4.xml" Id="R64472fad00504fd2" /><Relationship Type="http://schemas.openxmlformats.org/officeDocument/2006/relationships/worksheet" Target="/xl/worksheets/sheet5.xml" Id="R19c9f586a4854577" /><Relationship Type="http://schemas.openxmlformats.org/officeDocument/2006/relationships/worksheet" Target="/xl/worksheets/sheet6.xml" Id="R5501f87d503b454e" /><Relationship Type="http://schemas.openxmlformats.org/officeDocument/2006/relationships/worksheet" Target="/xl/worksheets/sheet7.xml" Id="R21aa6e97873b40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54" hidden="0" customWidth="1"/>
    <x:col min="4" max="4" width="4" hidden="0" customWidth="1"/>
    <x:col min="5" max="5" width="20" hidden="0" customWidth="1"/>
    <x:col min="6" max="6" width="20" hidden="0" customWidth="1"/>
    <x:col min="7" max="7" width="20" hidden="0" customWidth="1"/>
    <x:col min="8" max="8" width="20" hidden="0" customWidth="1"/>
  </x:cols>
  <x:sheetData>
    <x:row r="1" ht="30" customHeight="1">
      <x:c r="A1" s="3" t="str">
        <x:v>Timber Course Alignment Audit</x:v>
      </x:c>
      <x:c r="B1" s="3" t="str">
        <x:v>Timber Course Alignment Audit</x:v>
      </x:c>
      <x:c r="C1" s="3" t="str">
        <x:v>Timber Course Alignment Audit</x:v>
      </x:c>
      <x:c r="D1" s="3" t="str">
        <x:v>Timber Course Alignment Audit</x:v>
      </x:c>
      <x:c r="E1" s="3" t="str">
        <x:v>Timber Course Alignment Audit</x:v>
      </x:c>
      <x:c r="F1" s="3" t="str">
        <x:v>Timber Course Alignment Audit</x:v>
      </x:c>
      <x:c r="G1" s="3" t="str">
        <x:v>Timber Course Alignment Audit</x:v>
      </x:c>
      <x:c r="H1" s="3" t="str">
        <x:v>Timber Course Alignment Audit</x:v>
      </x:c>
    </x:row>
    <x:row r="2" ht="30" customHeight="1">
      <x:c r="A2" s="3" t="str">
        <x:v>Timber Course Alignment Audit</x:v>
      </x:c>
      <x:c r="B2" s="3" t="str">
        <x:v>Timber Course Alignment Audit</x:v>
      </x:c>
      <x:c r="C2" s="3" t="str">
        <x:v>Timber Course Alignment Audit</x:v>
      </x:c>
      <x:c r="D2" s="3" t="str">
        <x:v>Timber Course Alignment Audit</x:v>
      </x:c>
      <x:c r="E2" s="3" t="str">
        <x:v>Timber Course Alignment Audit</x:v>
      </x:c>
      <x:c r="F2" s="3" t="str">
        <x:v>Timber Course Alignment Audit</x:v>
      </x:c>
      <x:c r="G2" s="3" t="str">
        <x:v>Timber Course Alignment Audit</x:v>
      </x:c>
      <x:c r="H2" s="3" t="str">
        <x:v>Timber Course Alignment Audit</x:v>
      </x:c>
    </x:row>
    <x:row r="3" ht="28" customHeight="1">
      <x:c r="A3" s="225" t="str">
        <x:v>Current-program first view for the two-year Year 9–10 Timber evidence pathway. I/P/E records the audited strength of the learning/evidence opportunity; it does not assert individual student achievement or departmental approval.</x:v>
      </x:c>
      <x:c r="B3" s="225"/>
      <x:c r="C3" s="225"/>
      <x:c r="D3" s="225"/>
      <x:c r="E3" s="225"/>
      <x:c r="F3" s="225"/>
      <x:c r="G3" s="225"/>
      <x:c r="H3" s="225"/>
    </x:row>
    <x:row r="4" ht="28" customHeight="1">
      <x:c r="A4" s="225"/>
      <x:c r="B4" s="225"/>
      <x:c r="C4" s="225"/>
      <x:c r="D4" s="225"/>
      <x:c r="E4" s="225"/>
      <x:c r="F4" s="225"/>
      <x:c r="G4" s="225"/>
      <x:c r="H4" s="225"/>
    </x:row>
    <x:row r="6">
      <x:c r="A6" s="228" t="str">
        <x:v>Code / status</x:v>
      </x:c>
      <x:c r="B6" s="228" t="str">
        <x:v>Meaning</x:v>
      </x:c>
      <x:c r="C6" s="228" t="str">
        <x:v>How to read it</x:v>
      </x:c>
      <x:c r="E6" s="269" t="str">
        <x:v>Reading order</x:v>
      </x:c>
      <x:c r="F6" s="269"/>
      <x:c r="G6" s="269"/>
      <x:c r="H6" s="269"/>
    </x:row>
    <x:row r="7" ht="52" customHeight="1">
      <x:c r="A7" s="265" t="str">
        <x:v>I</x:v>
      </x:c>
      <x:c r="B7" s="248" t="str">
        <x:v>Introduced</x:v>
      </x:c>
      <x:c r="C7" s="249" t="str">
        <x:v>The concept, skill or outcome is explicitly taught or modelled.</x:v>
      </x:c>
      <x:c r="E7" s="273" t="str">
        <x:v>1. Start with Current Syllabus Summary for IND51–IND510 pathway status and progression.
2. Use Syllabus Alignment Matrix for original project-level I/P/E evidence and explicit Gap/Not applicable states.
3. Use Current Program Content Map for 77 unique exact program statements, their project/week placements and named evidence.
4. Use Project Evidence for site/folio/plan locations.
5. Use Gap Register for genuine current issues and formal-program scope decisions.</x:v>
      </x:c>
      <x:c r="F7" s="273"/>
      <x:c r="G7" s="273"/>
      <x:c r="H7" s="273"/>
    </x:row>
    <x:row r="8" ht="52" customHeight="1">
      <x:c r="A8" s="266" t="str">
        <x:v>P</x:v>
      </x:c>
      <x:c r="B8" s="251" t="str">
        <x:v>Practised and developed</x:v>
      </x:c>
      <x:c r="C8" s="252" t="str">
        <x:v>Students revisit and strengthen the learning; this is the original I/P/E evidence-strength code, not the pathway status 'Partially covered'.</x:v>
      </x:c>
      <x:c r="E8" s="273"/>
      <x:c r="F8" s="273"/>
      <x:c r="G8" s="273"/>
      <x:c r="H8" s="273"/>
    </x:row>
    <x:row r="9" ht="52" customHeight="1">
      <x:c r="A9" s="266" t="str">
        <x:v>E</x:v>
      </x:c>
      <x:c r="B9" s="251" t="str">
        <x:v>Evidenced / assessed</x:v>
      </x:c>
      <x:c r="C9" s="252" t="str">
        <x:v>A named activity, folio item, product or assessment provides inspectable evidence.</x:v>
      </x:c>
      <x:c r="E9" s="273"/>
      <x:c r="F9" s="273"/>
      <x:c r="G9" s="273"/>
      <x:c r="H9" s="273"/>
    </x:row>
    <x:row r="10" ht="52" customHeight="1">
      <x:c r="A10" s="266" t="str">
        <x:v>Gap</x:v>
      </x:c>
      <x:c r="B10" s="251" t="str">
        <x:v>Project/activity evidence absent</x:v>
      </x:c>
      <x:c r="C10" s="252" t="str">
        <x:v>The named project has a concrete evidence/activity gap. A project-level Gap can coexist with pathway status Covered when another formal project supplies E evidence.</x:v>
      </x:c>
      <x:c r="E10" s="273"/>
      <x:c r="F10" s="273"/>
      <x:c r="G10" s="273"/>
      <x:c r="H10" s="273"/>
    </x:row>
    <x:row r="11" ht="52" customHeight="1">
      <x:c r="A11" s="266" t="str">
        <x:v>Partial</x:v>
      </x:c>
      <x:c r="B11" s="251" t="str">
        <x:v>Reviewed limitation</x:v>
      </x:c>
      <x:c r="C11" s="252" t="str">
        <x:v>Coverage is present but incomplete where the original I/P/E code does not fully express the limitation.</x:v>
      </x:c>
      <x:c r="E11" s="273"/>
      <x:c r="F11" s="273"/>
      <x:c r="G11" s="273"/>
      <x:c r="H11" s="273"/>
    </x:row>
    <x:row r="12" ht="52" customHeight="1">
      <x:c r="A12" s="266" t="str">
        <x:v>Not applicable</x:v>
      </x:c>
      <x:c r="B12" s="251" t="str">
        <x:v>Not allocated here</x:v>
      </x:c>
      <x:c r="C12" s="252" t="str">
        <x:v>The outcome is intentionally evidenced elsewhere in the sequence, or the project is outside the supplied current formal program; read the adjacent reason.</x:v>
      </x:c>
      <x:c r="E12" s="273"/>
      <x:c r="F12" s="273"/>
      <x:c r="G12" s="273"/>
      <x:c r="H12" s="273"/>
    </x:row>
    <x:row r="13" ht="52" customHeight="1">
      <x:c r="A13" s="267" t="str">
        <x:v>Not yet reviewed</x:v>
      </x:c>
      <x:c r="B13" s="254" t="str">
        <x:v>Evidence not audited</x:v>
      </x:c>
      <x:c r="C13" s="255" t="str">
        <x:v>No conclusion has been made; the adjacent cell identifies what remains to be checked.</x:v>
      </x:c>
      <x:c r="E13" s="273"/>
      <x:c r="F13" s="273"/>
      <x:c r="G13" s="273"/>
      <x:c r="H13" s="273"/>
    </x:row>
    <x:row r="14" ht="27" customHeight="1">
      <x:c r="A14"/>
      <x:c r="B14"/>
      <x:c r="C14"/>
      <x:c r="E14"/>
      <x:c r="F14"/>
      <x:c r="G14"/>
      <x:c r="H14"/>
    </x:row>
    <x:row r="15" ht="27" customHeight="1">
      <x:c r="A15" s="227" t="str">
        <x:v>Stage</x:v>
      </x:c>
      <x:c r="B15" s="227" t="str">
        <x:v>Audited hub project</x:v>
      </x:c>
      <x:c r="C15" s="227" t="str">
        <x:v>Current-program status</x:v>
      </x:c>
      <x:c r="E15" s="269" t="str">
        <x:v>Current-syllabus headline</x:v>
      </x:c>
      <x:c r="F15" s="269"/>
      <x:c r="G15" s="269"/>
      <x:c r="H15" s="269"/>
    </x:row>
    <x:row r="16" ht="112" customHeight="1">
      <x:c r="A16" s="265" t="n">
        <x:v>1</x:v>
      </x:c>
      <x:c r="B16" s="275" t="str">
        <x:v>Breadboard</x:v>
      </x:c>
      <x:c r="C16" s="276" t="str">
        <x:v>Year 9 · supplied current program</x:v>
      </x:c>
      <x:c r="E16" s="547" t="str">
        <x:f>"All ten current outcomes are addressed across the two-year pathway: "&amp;COUNTIF('Current Syllabus Summary'!B11:B20,"Covered")&amp;" Covered; "&amp;COUNTIF('Current Syllabus Summary'!B11:B20,"Partially covered")&amp;" Partially covered; "&amp;COUNTIF('Current Syllabus Summary'!B11:B20,"Has gaps")&amp;" Has gaps. IND56 now has live introductory, developed and evidenced collaboration records across Breadboard, Mirror and Bedside Table. IND59 is explicitly evidenced at Clock, with other project outcome lists verified as course context. No current outcome gap remains; the two Pen-only lathe content points remain an open program-scope decision."</x:f>
        <x:v>All ten current outcomes are addressed across the two-year pathway: 10 Covered; 0 Partially covered; 0 Has gaps. IND56 now has live introductory, developed and evidenced collaboration records across Breadboard, Mirror and Bedside Table. IND59 is explicitly evidenced at Clock, with other project outcome lists verified as course context. No current outcome gap remains; the two Pen-only lathe content points remain an open program-scope decision.</x:v>
      </x:c>
      <x:c r="F16" s="547"/>
      <x:c r="G16" s="547"/>
      <x:c r="H16" s="547"/>
    </x:row>
    <x:row r="17" ht="32" customHeight="1">
      <x:c r="A17" s="292" t="n">
        <x:v>2</x:v>
      </x:c>
      <x:c r="B17" s="293" t="str">
        <x:v>Small Box</x:v>
      </x:c>
      <x:c r="C17" s="294" t="str">
        <x:v>Year 9 · local addition; outside supplied current program</x:v>
      </x:c>
      <x:c r="E17" s="507"/>
      <x:c r="F17" s="507"/>
      <x:c r="G17" s="507"/>
      <x:c r="H17" s="507"/>
    </x:row>
    <x:row r="18" ht="32" customHeight="1">
      <x:c r="A18" s="266" t="n">
        <x:v>3</x:v>
      </x:c>
      <x:c r="B18" s="278" t="str">
        <x:v>Clock</x:v>
      </x:c>
      <x:c r="C18" s="279" t="str">
        <x:v>Year 9 · supplied current program</x:v>
      </x:c>
      <x:c r="E18" s="507"/>
      <x:c r="F18" s="507"/>
      <x:c r="G18" s="507"/>
      <x:c r="H18" s="507"/>
    </x:row>
    <x:row r="19" ht="32" customHeight="1">
      <x:c r="A19" s="266" t="n">
        <x:v>4</x:v>
      </x:c>
      <x:c r="B19" s="278" t="str">
        <x:v>Tool Carry-all</x:v>
      </x:c>
      <x:c r="C19" s="279" t="str">
        <x:v>Year 9 · supplied current program</x:v>
      </x:c>
      <x:c r="E19" s="507"/>
      <x:c r="F19" s="507"/>
      <x:c r="G19" s="507"/>
      <x:c r="H19" s="507"/>
    </x:row>
    <x:row r="20" ht="32" customHeight="1">
      <x:c r="A20" s="266" t="n">
        <x:v>5</x:v>
      </x:c>
      <x:c r="B20" s="278" t="str">
        <x:v>Mirror</x:v>
      </x:c>
      <x:c r="C20" s="279" t="str">
        <x:v>Year 10 · supplied current program</x:v>
      </x:c>
      <x:c r="E20" s="507"/>
      <x:c r="F20" s="507"/>
      <x:c r="G20" s="507"/>
      <x:c r="H20" s="507"/>
    </x:row>
    <x:row r="21" ht="32" customHeight="1">
      <x:c r="A21" s="266" t="n">
        <x:v>6</x:v>
      </x:c>
      <x:c r="B21" s="278" t="str">
        <x:v>Bedside Table</x:v>
      </x:c>
      <x:c r="C21" s="279" t="str">
        <x:v>Year 10 · supplied current program</x:v>
      </x:c>
      <x:c r="E21" s="507"/>
      <x:c r="F21" s="507"/>
      <x:c r="G21" s="507"/>
      <x:c r="H21" s="507"/>
    </x:row>
    <x:row r="22" ht="32" customHeight="1">
      <x:c r="A22" s="298" t="n">
        <x:v>7</x:v>
      </x:c>
      <x:c r="B22" s="299" t="str">
        <x:v>Folding Chair</x:v>
      </x:c>
      <x:c r="C22" s="300" t="str">
        <x:v>Year 10 · local developing option; outside supplied current program</x:v>
      </x:c>
      <x:c r="E22" s="507"/>
      <x:c r="F22" s="507"/>
      <x:c r="G22" s="507"/>
      <x:c r="H22" s="507"/>
    </x:row>
  </x:sheetData>
  <x:mergeCells>
    <x:mergeCell ref="A1:H2"/>
    <x:mergeCell ref="A3:H4"/>
    <x:mergeCell ref="E6:H6"/>
    <x:mergeCell ref="E7:H13"/>
    <x:mergeCell ref="E15:H15"/>
    <x:mergeCell ref="E16: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52" hidden="0" customWidth="1"/>
    <x:col min="4" max="4" width="38" hidden="0" customWidth="1"/>
    <x:col min="5" max="5" width="16" hidden="0" customWidth="1"/>
    <x:col min="6" max="6" width="27" hidden="0" customWidth="1"/>
    <x:col min="7" max="7" width="16" hidden="0" customWidth="1"/>
    <x:col min="8" max="8" width="27" hidden="0" customWidth="1"/>
    <x:col min="9" max="9" width="16" hidden="0" customWidth="1"/>
    <x:col min="10" max="10" width="27" hidden="0" customWidth="1"/>
    <x:col min="11" max="11" width="16" hidden="0" customWidth="1"/>
    <x:col min="12" max="12" width="27" hidden="0" customWidth="1"/>
    <x:col min="13" max="13" width="16" hidden="0" customWidth="1"/>
    <x:col min="14" max="14" width="27" hidden="0" customWidth="1"/>
    <x:col min="15" max="15" width="16" hidden="0" customWidth="1"/>
    <x:col min="16" max="16" width="27" hidden="0" customWidth="1"/>
    <x:col min="17" max="17" width="16" hidden="0" customWidth="1"/>
    <x:col min="18" max="18" width="27" hidden="0" customWidth="1"/>
  </x:cols>
  <x:sheetData>
    <x:row r="1">
      <x:c r="A1" s="3" t="str">
        <x:v>Syllabus Alignment Matrix</x:v>
      </x:c>
      <x:c r="B1" s="3" t="str">
        <x:v>Syllabus Alignment Matrix</x:v>
      </x:c>
      <x:c r="C1" s="3" t="str">
        <x:v>Syllabus Alignment Matrix</x:v>
      </x:c>
      <x:c r="D1" s="3" t="str">
        <x:v>Syllabus Alignment Matrix</x:v>
      </x:c>
      <x:c r="E1" s="3" t="str">
        <x:v>Syllabus Alignment Matrix</x:v>
      </x:c>
      <x:c r="F1" s="3" t="str">
        <x:v>Syllabus Alignment Matrix</x:v>
      </x:c>
      <x:c r="G1" s="3" t="str">
        <x:v>Syllabus Alignment Matrix</x:v>
      </x:c>
      <x:c r="H1" s="3" t="str">
        <x:v>Syllabus Alignment Matrix</x:v>
      </x:c>
      <x:c r="I1" s="3" t="str">
        <x:v>Syllabus Alignment Matrix</x:v>
      </x:c>
      <x:c r="J1" s="3" t="str">
        <x:v>Syllabus Alignment Matrix</x:v>
      </x:c>
      <x:c r="K1" s="3" t="str">
        <x:v>Syllabus Alignment Matrix</x:v>
      </x:c>
      <x:c r="L1" s="3" t="str">
        <x:v>Syllabus Alignment Matrix</x:v>
      </x:c>
      <x:c r="M1" s="3" t="str">
        <x:v>Syllabus Alignment Matrix</x:v>
      </x:c>
      <x:c r="N1" s="3" t="str">
        <x:v>Syllabus Alignment Matrix</x:v>
      </x:c>
      <x:c r="O1" s="3" t="str">
        <x:v>Syllabus Alignment Matrix</x:v>
      </x:c>
      <x:c r="P1" s="3" t="str">
        <x:v>Syllabus Alignment Matrix</x:v>
      </x:c>
      <x:c r="Q1" s="3" t="str">
        <x:v>Syllabus Alignment Matrix</x:v>
      </x:c>
      <x:c r="R1" s="3" t="str">
        <x:v>Syllabus Alignment Matrix</x:v>
      </x:c>
    </x:row>
    <x:row r="2">
      <x:c r="A2" s="3" t="str">
        <x:v>Syllabus Alignment Matrix</x:v>
      </x:c>
      <x:c r="B2" s="3" t="str">
        <x:v>Syllabus Alignment Matrix</x:v>
      </x:c>
      <x:c r="C2" s="3" t="str">
        <x:v>Syllabus Alignment Matrix</x:v>
      </x:c>
      <x:c r="D2" s="3" t="str">
        <x:v>Syllabus Alignment Matrix</x:v>
      </x:c>
      <x:c r="E2" s="3" t="str">
        <x:v>Syllabus Alignment Matrix</x:v>
      </x:c>
      <x:c r="F2" s="3" t="str">
        <x:v>Syllabus Alignment Matrix</x:v>
      </x:c>
      <x:c r="G2" s="3" t="str">
        <x:v>Syllabus Alignment Matrix</x:v>
      </x:c>
      <x:c r="H2" s="3" t="str">
        <x:v>Syllabus Alignment Matrix</x:v>
      </x:c>
      <x:c r="I2" s="3" t="str">
        <x:v>Syllabus Alignment Matrix</x:v>
      </x:c>
      <x:c r="J2" s="3" t="str">
        <x:v>Syllabus Alignment Matrix</x:v>
      </x:c>
      <x:c r="K2" s="3" t="str">
        <x:v>Syllabus Alignment Matrix</x:v>
      </x:c>
      <x:c r="L2" s="3" t="str">
        <x:v>Syllabus Alignment Matrix</x:v>
      </x:c>
      <x:c r="M2" s="3" t="str">
        <x:v>Syllabus Alignment Matrix</x:v>
      </x:c>
      <x:c r="N2" s="3" t="str">
        <x:v>Syllabus Alignment Matrix</x:v>
      </x:c>
      <x:c r="O2" s="3" t="str">
        <x:v>Syllabus Alignment Matrix</x:v>
      </x:c>
      <x:c r="P2" s="3" t="str">
        <x:v>Syllabus Alignment Matrix</x:v>
      </x:c>
      <x:c r="Q2" s="3" t="str">
        <x:v>Syllabus Alignment Matrix</x:v>
      </x:c>
      <x:c r="R2" s="3" t="str">
        <x:v>Syllabus Alignment Matrix</x:v>
      </x:c>
    </x:row>
    <x:row r="3">
      <x:c r="A3" s="306" t="str">
        <x:v>Current program rows 7–16 use the supplied stage_5_timber_2021-06-16.docx outcome wording and explicit project states. Coverage is judged across the full two-year sequence: I → P → E should deepen with project complexity, and a project-level Gap can coexist with pathway Covered when another formal project supplies E. Small Box and Folding Chair are local additions excluded from the formal-current status formula. Future/new-syllabus rows 17–25 are reference only and do not determine the current result.</x:v>
      </x:c>
      <x:c r="B3" s="306"/>
      <x:c r="C3" s="306"/>
      <x:c r="D3" s="306"/>
      <x:c r="E3" s="306"/>
      <x:c r="F3" s="306"/>
      <x:c r="G3" s="306"/>
      <x:c r="H3" s="306"/>
      <x:c r="I3" s="306"/>
      <x:c r="J3" s="306"/>
      <x:c r="K3" s="306"/>
      <x:c r="L3" s="306"/>
      <x:c r="M3" s="306"/>
      <x:c r="N3" s="306"/>
      <x:c r="O3" s="306"/>
      <x:c r="P3" s="306"/>
      <x:c r="Q3" s="306"/>
      <x:c r="R3" s="306"/>
    </x:row>
    <x:row r="4">
      <x:c r="A4" s="306"/>
      <x:c r="B4" s="306"/>
      <x:c r="C4" s="306"/>
      <x:c r="D4" s="306"/>
      <x:c r="E4" s="306"/>
      <x:c r="F4" s="306"/>
      <x:c r="G4" s="306"/>
      <x:c r="H4" s="306"/>
      <x:c r="I4" s="306"/>
      <x:c r="J4" s="306"/>
      <x:c r="K4" s="306"/>
      <x:c r="L4" s="306"/>
      <x:c r="M4" s="306"/>
      <x:c r="N4" s="306"/>
      <x:c r="O4" s="306"/>
      <x:c r="P4" s="306"/>
      <x:c r="Q4" s="306"/>
      <x:c r="R4" s="306"/>
    </x:row>
    <x:row r="5">
      <x:c r="A5" s="85" t="str">
        <x:v>Framework</x:v>
      </x:c>
      <x:c r="B5" s="85" t="str">
        <x:v>Outcome / content code</x:v>
      </x:c>
      <x:c r="C5" s="85" t="str">
        <x:v>Outcome / content statement</x:v>
      </x:c>
      <x:c r="D5" s="85" t="str">
        <x:v>Source basis</x:v>
      </x:c>
      <x:c r="E5" s="85" t="str">
        <x:v>Stage 1 - Breadboard</x:v>
      </x:c>
      <x:c r="F5" s="85"/>
      <x:c r="G5" s="85" t="str">
        <x:v>Stage 2 - Small Box · local addition</x:v>
      </x:c>
      <x:c r="H5" s="85"/>
      <x:c r="I5" s="85" t="str">
        <x:v>Stage 3 - Clock</x:v>
      </x:c>
      <x:c r="J5" s="85"/>
      <x:c r="K5" s="85" t="str">
        <x:v>Stage 4 - Tool Carry-all</x:v>
      </x:c>
      <x:c r="L5" s="85"/>
      <x:c r="M5" s="85" t="str">
        <x:v>Stage 5 - Mirror</x:v>
      </x:c>
      <x:c r="N5" s="85"/>
      <x:c r="O5" s="85" t="str">
        <x:v>Stage 6 - Bedside Table</x:v>
      </x:c>
      <x:c r="P5" s="85"/>
      <x:c r="Q5" s="85" t="str">
        <x:v>Stage 7 - Folding Chair · local developing option</x:v>
      </x:c>
      <x:c r="R5" s="85"/>
    </x:row>
    <x:row r="6">
      <x:c r="A6" s="85"/>
      <x:c r="B6" s="85"/>
      <x:c r="C6" s="85"/>
      <x:c r="D6" s="85"/>
      <x:c r="E6" s="85" t="str">
        <x:v>I / P / E</x:v>
      </x:c>
      <x:c r="F6" s="85" t="str">
        <x:v>Webpage / module reference</x:v>
      </x:c>
      <x:c r="G6" s="85" t="str">
        <x:v>I / P / E</x:v>
      </x:c>
      <x:c r="H6" s="85" t="str">
        <x:v>Webpage / module reference</x:v>
      </x:c>
      <x:c r="I6" s="85" t="str">
        <x:v>I / P / E</x:v>
      </x:c>
      <x:c r="J6" s="85" t="str">
        <x:v>Webpage / module reference</x:v>
      </x:c>
      <x:c r="K6" s="85" t="str">
        <x:v>I / P / E</x:v>
      </x:c>
      <x:c r="L6" s="85" t="str">
        <x:v>Webpage / module reference</x:v>
      </x:c>
      <x:c r="M6" s="85" t="str">
        <x:v>I / P / E</x:v>
      </x:c>
      <x:c r="N6" s="85" t="str">
        <x:v>Webpage / module reference</x:v>
      </x:c>
      <x:c r="O6" s="85" t="str">
        <x:v>I / P / E</x:v>
      </x:c>
      <x:c r="P6" s="85" t="str">
        <x:v>Webpage / module reference</x:v>
      </x:c>
      <x:c r="Q6" s="85" t="str">
        <x:v>I / P / E</x:v>
      </x:c>
      <x:c r="R6" s="85" t="str">
        <x:v>Webpage / module reference</x:v>
      </x:c>
    </x:row>
    <x:row r="7" ht="66" customHeight="1">
      <x:c r="A7" s="86" t="str">
        <x:v>Current program</x:v>
      </x:c>
      <x:c r="B7" s="87" t="str">
        <x:v>IND51</x:v>
      </x:c>
      <x:c r="C7" s="87" t="str">
        <x:v>Identifies, assesses, applies and manages the risks and WHS issues associated with the use of a range of tools, equipment, materials, processes and technologies.</x:v>
      </x:c>
      <x:c r="D7" s="87" t="str">
        <x:v>stage_5_timber_2021-06-16.docx - Outcomes</x:v>
      </x:c>
      <x:c r="E7" s="109" t="str">
        <x:v>E</x:v>
      </x:c>
      <x:c r="F7" s="112" t="str">
        <x:v>Module 01 written risk response; folio Safety preparation checkpoint.</x:v>
      </x:c>
      <x:c r="G7" s="109" t="str">
        <x:v>E</x:v>
      </x:c>
      <x:c r="H7" s="112" t="str">
        <x:v>Weeks 1-2 safety setup response and saved module evidence.</x:v>
      </x:c>
      <x:c r="I7" s="109" t="str">
        <x:v>E</x:v>
      </x:c>
      <x:c r="J7" s="112" t="str">
        <x:v>Weeks 1-4 hazards, controls and WMS responses; folio planning.</x:v>
      </x:c>
      <x:c r="K7" s="109" t="str">
        <x:v>E</x:v>
      </x:c>
      <x:c r="L7" s="112" t="str">
        <x:v>Weeks 1-2 SWMS response; Weeks 15-16 handling and housekeeping.</x:v>
      </x:c>
      <x:c r="M7" s="109" t="str">
        <x:v>E</x:v>
      </x:c>
      <x:c r="N7" s="112" t="str">
        <x:v>Safety theory activities and quizzes; portfolio plan-and-prepare evidence.</x:v>
      </x:c>
      <x:c r="O7" s="109" t="str">
        <x:v>E</x:v>
      </x:c>
      <x:c r="P7" s="112" t="str">
        <x:v>Weeks 1-2 risk controls; Weeks 15-16 SDS and finishing responses.</x:v>
      </x:c>
      <x:c r="Q7" s="109" t="str">
        <x:v>E</x:v>
      </x:c>
      <x:c r="R7" s="115" t="str">
        <x:v>Weeks 1-2 risk controls; Weeks 7-8 WMS; Weeks 15-16 SDS evidence.</x:v>
      </x:c>
    </x:row>
    <x:row r="8" ht="66" customHeight="1">
      <x:c r="A8" s="88" t="str">
        <x:v>Current program</x:v>
      </x:c>
      <x:c r="B8" s="89" t="str">
        <x:v>IND52</x:v>
      </x:c>
      <x:c r="C8" s="89" t="str">
        <x:v>Applies design principles in the modification, development and production of projects.</x:v>
      </x:c>
      <x:c r="D8" s="89" t="str">
        <x:v>stage_5_timber_2021-06-16.docx - Outcomes</x:v>
      </x:c>
      <x:c r="E8" s="110" t="str">
        <x:v>P</x:v>
      </x:c>
      <x:c r="F8" s="113" t="str">
        <x:v>Module 02 layout/profile decisions and folio plans; modification is not explicit.</x:v>
      </x:c>
      <x:c r="G8" s="308" t="str">
        <x:v>Gap</x:v>
      </x:c>
      <x:c r="H8" s="113" t="str">
        <x:v>Local addition outside the supplied formal program; no explicit design-development evidence was found. Excluded from formal-current status (SCOPE-02).</x:v>
      </x:c>
      <x:c r="I8" s="110" t="str">
        <x:v>E</x:v>
      </x:c>
      <x:c r="J8" s="113" t="str">
        <x:v>Weeks 15-16 design-principles and approved-development written responses.</x:v>
      </x:c>
      <x:c r="K8" s="110" t="str">
        <x:v>E</x:v>
      </x:c>
      <x:c r="L8" s="113" t="str">
        <x:v>Weeks 11-12 handle design, criteria and orthogonal-drawing responses.</x:v>
      </x:c>
      <x:c r="M8" s="110" t="str">
        <x:v>E</x:v>
      </x:c>
      <x:c r="N8" s="113" t="str">
        <x:v>Design theory activities plus portfolio brief, ideas and feedback sections.</x:v>
      </x:c>
      <x:c r="O8" s="110" t="str">
        <x:v>E</x:v>
      </x:c>
      <x:c r="P8" s="113" t="str">
        <x:v>Weeks 1-2 design decision and project-plan responses.</x:v>
      </x:c>
      <x:c r="Q8" s="110" t="str">
        <x:v>E</x:v>
      </x:c>
      <x:c r="R8" s="116" t="str">
        <x:v>Weeks 1-2 approved variation; Weeks 9-10 design-criteria responses.</x:v>
      </x:c>
    </x:row>
    <x:row r="9" ht="66" customHeight="1">
      <x:c r="A9" s="88" t="str">
        <x:v>Current program</x:v>
      </x:c>
      <x:c r="B9" s="89" t="str">
        <x:v>IND53</x:v>
      </x:c>
      <x:c r="C9" s="89" t="str">
        <x:v>Identifies, selects and uses a range of hand and machine tools, equipment and processes to produce quality practical projects.</x:v>
      </x:c>
      <x:c r="D9" s="89" t="str">
        <x:v>stage_5_timber_2021-06-16.docx - Outcomes</x:v>
      </x:c>
      <x:c r="E9" s="110" t="str">
        <x:v>E</x:v>
      </x:c>
      <x:c r="F9" s="113" t="str">
        <x:v>Modules 02-04 process checks; folio records marking, jointing, assembly and finish.</x:v>
      </x:c>
      <x:c r="G9" s="110" t="str">
        <x:v>E</x:v>
      </x:c>
      <x:c r="H9" s="113" t="str">
        <x:v>Weeks 3-6 cutting, clamping, assembly and surface-finishing responses.</x:v>
      </x:c>
      <x:c r="I9" s="110" t="str">
        <x:v>E</x:v>
      </x:c>
      <x:c r="J9" s="113" t="str">
        <x:v>Weeks 5-14 drill press, rebates, carcass, drawer, sanding, finish and mechanism.</x:v>
      </x:c>
      <x:c r="K9" s="110" t="str">
        <x:v>E</x:v>
      </x:c>
      <x:c r="L9" s="113" t="str">
        <x:v>Weeks 5-18 joints, hand tools, assembly, shaping, clamping and finish.</x:v>
      </x:c>
      <x:c r="M9" s="110" t="str">
        <x:v>E</x:v>
      </x:c>
      <x:c r="N9" s="113" t="str">
        <x:v>Marking, joinery, routing and finishing activities; quizzes and process folio.</x:v>
      </x:c>
      <x:c r="O9" s="110" t="str">
        <x:v>E</x:v>
      </x:c>
      <x:c r="P9" s="113" t="str">
        <x:v>Weeks 3-16 cutting list, mortiser, bandsaw, joinery, assembly and finish.</x:v>
      </x:c>
      <x:c r="Q9" s="110" t="str">
        <x:v>E</x:v>
      </x:c>
      <x:c r="R9" s="116" t="str">
        <x:v>Weeks 3-16 timber, mortiser, bandsaw, joinery, pivot assembly and finish.</x:v>
      </x:c>
    </x:row>
    <x:row r="10" ht="66" customHeight="1">
      <x:c r="A10" s="88" t="str">
        <x:v>Current program</x:v>
      </x:c>
      <x:c r="B10" s="89" t="str">
        <x:v>IND54</x:v>
      </x:c>
      <x:c r="C10" s="89" t="str">
        <x:v>Selects, justifies and uses a range of relevant and associated materials for specific applications.</x:v>
      </x:c>
      <x:c r="D10" s="89" t="str">
        <x:v>stage_5_timber_2021-06-16.docx - Outcomes</x:v>
      </x:c>
      <x:c r="E10" s="110" t="str">
        <x:v>E</x:v>
      </x:c>
      <x:c r="F10" s="113" t="str">
        <x:v>Module 02 grain/layout response and folio Timber selection checkpoint.</x:v>
      </x:c>
      <x:c r="G10" s="110" t="str">
        <x:v>E</x:v>
      </x:c>
      <x:c r="H10" s="113" t="str">
        <x:v>Weeks 1-2 timber-suitability response and folio material record.</x:v>
      </x:c>
      <x:c r="I10" s="110" t="str">
        <x:v>E</x:v>
      </x:c>
      <x:c r="J10" s="113" t="str">
        <x:v>Weeks 3-4 defects/cutting list and Weeks 11-12 material-choice response.</x:v>
      </x:c>
      <x:c r="K10" s="110" t="str">
        <x:v>E</x:v>
      </x:c>
      <x:c r="L10" s="113" t="str">
        <x:v>Weeks 3-4 pine/plywood selection and responsible-use responses.</x:v>
      </x:c>
      <x:c r="M10" s="110" t="str">
        <x:v>E</x:v>
      </x:c>
      <x:c r="N10" s="113" t="str">
        <x:v>Timber theory activities and portfolio materials/cutting-list evidence.</x:v>
      </x:c>
      <x:c r="O10" s="110" t="str">
        <x:v>E</x:v>
      </x:c>
      <x:c r="P10" s="113" t="str">
        <x:v>Weeks 3-4 material-selection and matched-grain written responses.</x:v>
      </x:c>
      <x:c r="Q10" s="110" t="str">
        <x:v>E</x:v>
      </x:c>
      <x:c r="R10" s="116" t="str">
        <x:v>Weeks 3-4 timber selection, defects and cutting-list responses.</x:v>
      </x:c>
    </x:row>
    <x:row r="11" ht="66" customHeight="1">
      <x:c r="A11" s="88" t="str">
        <x:v>Current program</x:v>
      </x:c>
      <x:c r="B11" s="89" t="str">
        <x:v>IND55</x:v>
      </x:c>
      <x:c r="C11" s="89" t="str">
        <x:v>Selects, interprets and applies a range of suitable communication techniques in the development, planning, production and presentation of ideas and projects.</x:v>
      </x:c>
      <x:c r="D11" s="89" t="str">
        <x:v>stage_5_timber_2021-06-16.docx - Outcomes</x:v>
      </x:c>
      <x:c r="E11" s="110" t="str">
        <x:v>E</x:v>
      </x:c>
      <x:c r="F11" s="113" t="str">
        <x:v>Folio has 12 photo/caption checkpoints and Print/Save PDF output.</x:v>
      </x:c>
      <x:c r="G11" s="110" t="str">
        <x:v>E</x:v>
      </x:c>
      <x:c r="H11" s="113" t="str">
        <x:v>Saved written responses and smallbox-folio.html printable evidence.</x:v>
      </x:c>
      <x:c r="I11" s="110" t="str">
        <x:v>E</x:v>
      </x:c>
      <x:c r="J11" s="113" t="str">
        <x:v>Weeks 15-18 drawings, captions and folio evidence; printable folio.</x:v>
      </x:c>
      <x:c r="K11" s="110" t="str">
        <x:v>E</x:v>
      </x:c>
      <x:c r="L11" s="113" t="str">
        <x:v>Weeks 11-12 orthogonal drawing plus captions and printable folio.</x:v>
      </x:c>
      <x:c r="M11" s="110" t="str">
        <x:v>E</x:v>
      </x:c>
      <x:c r="N11" s="113" t="str">
        <x:v>Portfolio workbook, quizzes, folio and assessment submission evidence.</x:v>
      </x:c>
      <x:c r="O11" s="110" t="str">
        <x:v>E</x:v>
      </x:c>
      <x:c r="P11" s="113" t="str">
        <x:v>Weeks 17-18 evidence selection/captions and printable project folio.</x:v>
      </x:c>
      <x:c r="Q11" s="110" t="str">
        <x:v>E</x:v>
      </x:c>
      <x:c r="R11" s="116" t="str">
        <x:v>Weeks 9-10 drawing/CAD communication and Weeks 17-18 folio evidence.</x:v>
      </x:c>
    </x:row>
    <x:row r="12" ht="132" customHeight="1">
      <x:c r="A12" s="88" t="str">
        <x:v>Current program</x:v>
      </x:c>
      <x:c r="B12" s="89" t="str">
        <x:v>IND56</x:v>
      </x:c>
      <x:c r="C12" s="89" t="str">
        <x:v>Identifies and participates in collaborative work practices in the learning environment.</x:v>
      </x:c>
      <x:c r="D12" s="89" t="str">
        <x:v>stage_5_timber_2021-06-16.docx - Outcomes</x:v>
      </x:c>
      <x:c r="E12" s="493" t="str">
        <x:v>E</x:v>
      </x:c>
      <x:c r="F12" s="113" t="str">
        <x:v>Module 05 activity 1 — saved peer feedback given/received, one improvement and a result check. Live verified 2026-08-02 at https://stevencowell.github.io/bread-board-guided-course/modules/module-05.html (S18).</x:v>
      </x:c>
      <x:c r="G12" s="308" t="str">
        <x:v>Gap</x:v>
      </x:c>
      <x:c r="H12" s="113" t="str">
        <x:v>Local addition; see SCOPE-02.</x:v>
      </x:c>
      <x:c r="I12" s="110" t="str">
        <x:v>P</x:v>
      </x:c>
      <x:c r="J12" s="113" t="str">
        <x:v>Weeks 5–6 shared-equipment/housekeeping response (CUR-01).</x:v>
      </x:c>
      <x:c r="K12" s="110" t="str">
        <x:v>P</x:v>
      </x:c>
      <x:c r="L12" s="113" t="str">
        <x:v>Weeks 15–16 team-lift and communication practice (CUR-01).</x:v>
      </x:c>
      <x:c r="M12" s="548" t="str">
        <x:v>E</x:v>
      </x:c>
      <x:c r="N12" s="113" t="str">
        <x:v>Mirror Portfolio Workbook, Peer Quality Check and Workshop Handover - saved roles, criterion/evidence, feedback, justified decision, result check and handover contribution. Live verified 2026-08-02 at https://stevencowell.github.io/year-10-timber-mirror-project/mirror_portfolio_workbook.html (commit 9668c52; S19).</x:v>
      </x:c>
      <x:c r="O12" s="548" t="str">
        <x:v>E</x:v>
      </x:c>
      <x:c r="P12" s="113" t="str">
        <x:v>Weeks 19–20 response 1 — saved peer QA critique, justified decision, before/after evidence and workshop handover roles. Live verified 2026-08-02 at https://stevencowell.github.io/bedside-table-guided-course/weeks19-20/ (S18).</x:v>
      </x:c>
      <x:c r="Q12" s="110" t="str">
        <x:v>P</x:v>
      </x:c>
      <x:c r="R12" s="116" t="str">
        <x:v>Weeks 1–2 teacher/partner check; local developing option (SCOPE-02).</x:v>
      </x:c>
    </x:row>
    <x:row r="13" ht="66" customHeight="1">
      <x:c r="A13" s="88" t="str">
        <x:v>Current program</x:v>
      </x:c>
      <x:c r="B13" s="89" t="str">
        <x:v>IND57</x:v>
      </x:c>
      <x:c r="C13" s="89" t="str">
        <x:v>Applies and transfers skills, processes and materials to a variety of contexts and projects.</x:v>
      </x:c>
      <x:c r="D13" s="89" t="str">
        <x:v>stage_5_timber_2021-06-16.docx - Outcomes</x:v>
      </x:c>
      <x:c r="E13" s="110" t="str">
        <x:v>P</x:v>
      </x:c>
      <x:c r="F13" s="113" t="str">
        <x:v>Module 05 problem-solving/evaluation supports transfer; no explicit transfer prompt.</x:v>
      </x:c>
      <x:c r="G13" s="110" t="str">
        <x:v>P</x:v>
      </x:c>
      <x:c r="H13" s="113" t="str">
        <x:v>Weeks 3-6 error recovery and PMI reflection; transfer to a new context is implicit.</x:v>
      </x:c>
      <x:c r="I13" s="110" t="str">
        <x:v>E</x:v>
      </x:c>
      <x:c r="J13" s="113" t="str">
        <x:v>Weeks 19-20 saved response names transferable workshop skills and future use.</x:v>
      </x:c>
      <x:c r="K13" s="110" t="str">
        <x:v>E</x:v>
      </x:c>
      <x:c r="L13" s="113" t="str">
        <x:v>Weeks 5-6 joint comparison and Weeks 19-20 correction/problem-solving response.</x:v>
      </x:c>
      <x:c r="M13" s="110" t="str">
        <x:v>P</x:v>
      </x:c>
      <x:c r="N13" s="113" t="str">
        <x:v>Evaluation and improvement activities support transfer; no explicit new-context response.</x:v>
      </x:c>
      <x:c r="O13" s="110" t="str">
        <x:v>E</x:v>
      </x:c>
      <x:c r="P13" s="113" t="str">
        <x:v>Weeks 19-20 final reflection requires a transferable skill and future application.</x:v>
      </x:c>
      <x:c r="Q13" s="110" t="str">
        <x:v>E</x:v>
      </x:c>
      <x:c r="R13" s="116" t="str">
        <x:v>Weeks 19-20 final reflection requires transferable learning and future application.</x:v>
      </x:c>
    </x:row>
    <x:row r="14" ht="66" customHeight="1">
      <x:c r="A14" s="88" t="str">
        <x:v>Current program</x:v>
      </x:c>
      <x:c r="B14" s="89" t="str">
        <x:v>IND58</x:v>
      </x:c>
      <x:c r="C14" s="89" t="str">
        <x:v>Evaluates products in terms of functional, economic, aesthetic and environmental qualities and quality of construction.</x:v>
      </x:c>
      <x:c r="D14" s="89" t="str">
        <x:v>stage_5_timber_2021-06-16.docx - Outcomes</x:v>
      </x:c>
      <x:c r="E14" s="110" t="str">
        <x:v>E</x:v>
      </x:c>
      <x:c r="F14" s="113" t="str">
        <x:v>Module 05 evaluation against the brief and folio evaluation evidence.</x:v>
      </x:c>
      <x:c r="G14" s="110" t="str">
        <x:v>E</x:v>
      </x:c>
      <x:c r="H14" s="113" t="str">
        <x:v>Weeks 5-6 PMI evaluation response and folio reflection.</x:v>
      </x:c>
      <x:c r="I14" s="110" t="str">
        <x:v>E</x:v>
      </x:c>
      <x:c r="J14" s="113" t="str">
        <x:v>Weeks 17-20 PMI, quality assurance and final reflection responses.</x:v>
      </x:c>
      <x:c r="K14" s="110" t="str">
        <x:v>E</x:v>
      </x:c>
      <x:c r="L14" s="113" t="str">
        <x:v>Weeks 19-20 PMI evaluation and authentic problem-correction evidence.</x:v>
      </x:c>
      <x:c r="M14" s="110" t="str">
        <x:v>E</x:v>
      </x:c>
      <x:c r="N14" s="113" t="str">
        <x:v>Evaluation theory activities plus portfolio/product evaluation and assessment.</x:v>
      </x:c>
      <x:c r="O14" s="110" t="str">
        <x:v>E</x:v>
      </x:c>
      <x:c r="P14" s="113" t="str">
        <x:v>Weeks 17-18 criterion-based evaluation and evidence-selection responses.</x:v>
      </x:c>
      <x:c r="Q14" s="110" t="str">
        <x:v>E</x:v>
      </x:c>
      <x:c r="R14" s="116" t="str">
        <x:v>Weeks 17-18 criterion-based product evaluation and folio evidence.</x:v>
      </x:c>
    </x:row>
    <x:row r="15" ht="118" customHeight="1">
      <x:c r="A15" s="88" t="str">
        <x:v>Current program</x:v>
      </x:c>
      <x:c r="B15" s="89" t="str">
        <x:v>IND59</x:v>
      </x:c>
      <x:c r="C15" s="89" t="str">
        <x:v>Describes, analyses and uses a range of current, new and emerging technologies and their various applications.</x:v>
      </x:c>
      <x:c r="D15" s="89" t="str">
        <x:v>stage_5_timber_2021-06-16.docx - Outcomes</x:v>
      </x:c>
      <x:c r="E15" s="524" t="str">
        <x:v>Not applicable</x:v>
      </x:c>
      <x:c r="F15" s="113" t="str">
        <x:v>Breadboard displays the course outcome list as context, not as a separate project-level IND59 assessment claim. Clock Weeks 15-16 remains the formal current-program E evidence for IND59. Course-context wording live verified 2026-08-02 (commit 11f7690; S19).</x:v>
      </x:c>
      <x:c r="G15" s="308" t="str">
        <x:v>Gap</x:v>
      </x:c>
      <x:c r="H15" s="113" t="str">
        <x:v>Local addition outside the supplied formal program; no inspectable IND59 evidence was found. Excluded from formal-current status (SCOPE-02).</x:v>
      </x:c>
      <x:c r="I15" s="110" t="str">
        <x:v>E</x:v>
      </x:c>
      <x:c r="J15" s="113" t="str">
        <x:v>Weeks 15-16 technology comparison and saved CAD/digital/industrial-process response.</x:v>
      </x:c>
      <x:c r="K15" s="110" t="str">
        <x:v>I</x:v>
      </x:c>
      <x:c r="L15" s="113" t="str">
        <x:v>Weeks 3-4 compares traditional and industrial timber production; no emerging-tech task.</x:v>
      </x:c>
      <x:c r="M15" s="549" t="str">
        <x:v>Not applicable</x:v>
      </x:c>
      <x:c r="N15" s="113" t="str">
        <x:v>Mirror displays the course outcome list as context, not as a separate project-level IND59 assessment claim. Clock Weeks 15-16 remains the formal current-program E evidence for IND59. Course-context wording live verified 2026-08-02 (commit 9668c52; S19).</x:v>
      </x:c>
      <x:c r="O15" s="549" t="str">
        <x:v>Not applicable</x:v>
      </x:c>
      <x:c r="P15" s="113" t="str">
        <x:v>Bedside Table displays the course outcome list as context, not as a separate project-level IND59 assessment claim. Clock Weeks 15-16 remains the formal current-program E evidence for IND59. Course-context wording live verified 2026-08-02 (commit 9395842; S19).</x:v>
      </x:c>
      <x:c r="Q15" s="110" t="str">
        <x:v>E</x:v>
      </x:c>
      <x:c r="R15" s="116" t="str">
        <x:v>Weeks 9-10 CAD workflow, constraints, revision control and verification response.</x:v>
      </x:c>
    </x:row>
    <x:row r="16" ht="66" customHeight="1">
      <x:c r="A16" s="88" t="str">
        <x:v>Current program</x:v>
      </x:c>
      <x:c r="B16" s="89" t="str">
        <x:v>IND510</x:v>
      </x:c>
      <x:c r="C16" s="89" t="str">
        <x:v>Describes, analyses and evaluates the impact of technology on society, the environment and cultural issues locally and globally.</x:v>
      </x:c>
      <x:c r="D16" s="89" t="str">
        <x:v>stage_5_timber_2021-06-16.docx - Outcomes</x:v>
      </x:c>
      <x:c r="E16" s="110" t="str">
        <x:v>E</x:v>
      </x:c>
      <x:c r="F16" s="113" t="str">
        <x:v>Module 04 saved response links finish durability, responsible use and sustainability.</x:v>
      </x:c>
      <x:c r="G16" s="110" t="str">
        <x:v>P</x:v>
      </x:c>
      <x:c r="H16" s="113" t="str">
        <x:v>Weeks 5-6 social/environmental reflection is practised; cultural impact is not explicit.</x:v>
      </x:c>
      <x:c r="I16" s="110" t="str">
        <x:v>P</x:v>
      </x:c>
      <x:c r="J16" s="113" t="str">
        <x:v>Weeks 9-12 waste/material responsibility; social and cultural dimensions are not explicit.</x:v>
      </x:c>
      <x:c r="K16" s="110" t="str">
        <x:v>E</x:v>
      </x:c>
      <x:c r="L16" s="113" t="str">
        <x:v>Weeks 3-4 saved responses address cultural timber knowledge and responsible material use.</x:v>
      </x:c>
      <x:c r="M16" s="110" t="str">
        <x:v>P</x:v>
      </x:c>
      <x:c r="N16" s="113" t="str">
        <x:v>Timber/evaluation activities address sustainability; broader cultural impact is not explicit.</x:v>
      </x:c>
      <x:c r="O16" s="110" t="str">
        <x:v>E</x:v>
      </x:c>
      <x:c r="P16" s="113" t="str">
        <x:v>Weeks 15-16 lifecycle-impact response across sourcing, making, use, repair and end of life.</x:v>
      </x:c>
      <x:c r="Q16" s="110" t="str">
        <x:v>E</x:v>
      </x:c>
      <x:c r="R16" s="116" t="str">
        <x:v>Weeks 15-16 sustainability/lifecycle response and Weeks 13-14 industry-quality context.</x:v>
      </x:c>
    </x:row>
    <x:row r="17" ht="54" customHeight="1">
      <x:c r="A17" s="313" t="str">
        <x:v>Future / new syllabus</x:v>
      </x:c>
      <x:c r="B17" s="314" t="str">
        <x:v>INT5-SAF-01</x:v>
      </x:c>
      <x:c r="C17" s="314" t="str">
        <x:v>Primary outcome code listed in the supplied future program; authoritative description not supplied in the reviewed documents.</x:v>
      </x:c>
      <x:c r="D17" s="314" t="str">
        <x:v>2025 Timber program new syllabus.docx - Primary outcomes</x:v>
      </x:c>
      <x:c r="E17" s="315" t="str">
        <x:v>E</x:v>
      </x:c>
      <x:c r="F17" s="316" t="str">
        <x:v>Program primary outcome; Module 01 and folio safety evidence.</x:v>
      </x:c>
      <x:c r="G17" s="317" t="str">
        <x:v>Not applicable</x:v>
      </x:c>
      <x:c r="H17" s="316" t="str">
        <x:v>Not mapped - project is not named in the supplied future program.</x:v>
      </x:c>
      <x:c r="I17" s="317" t="str">
        <x:v>Not applicable</x:v>
      </x:c>
      <x:c r="J17" s="316" t="str">
        <x:v>Not listed as a Clock primary outcome; the webpage nevertheless contains safety/WMS evidence.</x:v>
      </x:c>
      <x:c r="K17" s="317" t="str">
        <x:v>Not applicable</x:v>
      </x:c>
      <x:c r="L17" s="316" t="str">
        <x:v>Not listed as a Carry-all primary outcome; the webpage nevertheless contains SWMS evidence.</x:v>
      </x:c>
      <x:c r="M17" s="317" t="str">
        <x:v>Not applicable</x:v>
      </x:c>
      <x:c r="N17" s="316" t="str">
        <x:v>Not listed as a Mirror primary outcome; the webpage nevertheless contains safety evidence.</x:v>
      </x:c>
      <x:c r="O17" s="315" t="str">
        <x:v>E</x:v>
      </x:c>
      <x:c r="P17" s="316" t="str">
        <x:v>Program primary outcome; Weeks 1-2 and 15-16 safety/SDS evidence.</x:v>
      </x:c>
      <x:c r="Q17" s="317" t="str">
        <x:v>Not applicable</x:v>
      </x:c>
      <x:c r="R17" s="318" t="str">
        <x:v>Not mapped - Folding Chair is a provisional/developing option outside the supplied formal program.</x:v>
      </x:c>
    </x:row>
    <x:row r="18" ht="54" customHeight="1">
      <x:c r="A18" s="319" t="str">
        <x:v>Future / new syllabus</x:v>
      </x:c>
      <x:c r="B18" s="320" t="str">
        <x:v>INT5-USE-01</x:v>
      </x:c>
      <x:c r="C18" s="320" t="str">
        <x:v>Primary outcome code listed in the supplied future program; authoritative description not supplied in the reviewed documents.</x:v>
      </x:c>
      <x:c r="D18" s="320" t="str">
        <x:v>2025 Timber program new syllabus.docx - Primary outcomes</x:v>
      </x:c>
      <x:c r="E18" s="321" t="str">
        <x:v>E</x:v>
      </x:c>
      <x:c r="F18" s="322" t="str">
        <x:v>Program primary outcome; Modules 02-04 and practical folio checkpoints.</x:v>
      </x:c>
      <x:c r="G18" s="323" t="str">
        <x:v>Not applicable</x:v>
      </x:c>
      <x:c r="H18" s="322" t="str">
        <x:v>Not mapped - project is not named in the supplied future program.</x:v>
      </x:c>
      <x:c r="I18" s="321" t="str">
        <x:v>E</x:v>
      </x:c>
      <x:c r="J18" s="322" t="str">
        <x:v>Program primary outcome; Weeks 5-14 process and tool-use responses.</x:v>
      </x:c>
      <x:c r="K18" s="321" t="str">
        <x:v>E</x:v>
      </x:c>
      <x:c r="L18" s="322" t="str">
        <x:v>Program primary outcome; Weeks 5-18 process and tool-use responses.</x:v>
      </x:c>
      <x:c r="M18" s="321" t="str">
        <x:v>E</x:v>
      </x:c>
      <x:c r="N18" s="322" t="str">
        <x:v>Program primary outcome; marking, joinery, routing and finishing activities.</x:v>
      </x:c>
      <x:c r="O18" s="321" t="str">
        <x:v>E</x:v>
      </x:c>
      <x:c r="P18" s="322" t="str">
        <x:v>Program primary outcome; Weeks 3-16 process and tool-use responses.</x:v>
      </x:c>
      <x:c r="Q18" s="323" t="str">
        <x:v>Not applicable</x:v>
      </x:c>
      <x:c r="R18" s="324" t="str">
        <x:v>Not mapped - Folding Chair is a provisional/developing option outside the supplied formal program.</x:v>
      </x:c>
    </x:row>
    <x:row r="19" ht="54" customHeight="1">
      <x:c r="A19" s="319" t="str">
        <x:v>Future / new syllabus</x:v>
      </x:c>
      <x:c r="B19" s="320" t="str">
        <x:v>INT5-PRO-01</x:v>
      </x:c>
      <x:c r="C19" s="320" t="str">
        <x:v>Primary outcome code listed in the supplied future program; authoritative description not supplied in the reviewed documents.</x:v>
      </x:c>
      <x:c r="D19" s="320" t="str">
        <x:v>2025 Timber program new syllabus.docx - Primary outcomes</x:v>
      </x:c>
      <x:c r="E19" s="321" t="str">
        <x:v>E</x:v>
      </x:c>
      <x:c r="F19" s="322" t="str">
        <x:v>Program primary outcome; staged making sequence and 12-point folio.</x:v>
      </x:c>
      <x:c r="G19" s="323" t="str">
        <x:v>Not applicable</x:v>
      </x:c>
      <x:c r="H19" s="322" t="str">
        <x:v>Not mapped - project is not named in the supplied future program.</x:v>
      </x:c>
      <x:c r="I19" s="321" t="str">
        <x:v>E</x:v>
      </x:c>
      <x:c r="J19" s="322" t="str">
        <x:v>Program primary outcome; staged production modules and folio.</x:v>
      </x:c>
      <x:c r="K19" s="321" t="str">
        <x:v>E</x:v>
      </x:c>
      <x:c r="L19" s="322" t="str">
        <x:v>Program primary outcome; staged production modules and folio.</x:v>
      </x:c>
      <x:c r="M19" s="321" t="str">
        <x:v>E</x:v>
      </x:c>
      <x:c r="N19" s="322" t="str">
        <x:v>Program primary outcome; process activities, portfolio and folio.</x:v>
      </x:c>
      <x:c r="O19" s="321" t="str">
        <x:v>E</x:v>
      </x:c>
      <x:c r="P19" s="322" t="str">
        <x:v>Program primary outcome; staged production modules and folio.</x:v>
      </x:c>
      <x:c r="Q19" s="323" t="str">
        <x:v>Not applicable</x:v>
      </x:c>
      <x:c r="R19" s="324" t="str">
        <x:v>Not mapped - Folding Chair is a provisional/developing option outside the supplied formal program.</x:v>
      </x:c>
    </x:row>
    <x:row r="20" ht="54" customHeight="1">
      <x:c r="A20" s="319" t="str">
        <x:v>Future / new syllabus</x:v>
      </x:c>
      <x:c r="B20" s="320" t="str">
        <x:v>INT5-DES-01</x:v>
      </x:c>
      <x:c r="C20" s="320" t="str">
        <x:v>Primary outcome code listed in the supplied future program; authoritative description not supplied in the reviewed documents.</x:v>
      </x:c>
      <x:c r="D20" s="320" t="str">
        <x:v>2025 Timber program new syllabus.docx - Primary outcomes</x:v>
      </x:c>
      <x:c r="E20" s="321" t="str">
        <x:v>P</x:v>
      </x:c>
      <x:c r="F20" s="322" t="str">
        <x:v>Program primary outcome; layout/profile choices are practised, but development evidence is limited.</x:v>
      </x:c>
      <x:c r="G20" s="323" t="str">
        <x:v>Not applicable</x:v>
      </x:c>
      <x:c r="H20" s="322" t="str">
        <x:v>Not mapped - project is not named in the supplied future program.</x:v>
      </x:c>
      <x:c r="I20" s="321" t="str">
        <x:v>E</x:v>
      </x:c>
      <x:c r="J20" s="322" t="str">
        <x:v>Program primary outcome; Weeks 15-16 design-principles response.</x:v>
      </x:c>
      <x:c r="K20" s="321" t="str">
        <x:v>E</x:v>
      </x:c>
      <x:c r="L20" s="322" t="str">
        <x:v>Program primary outcome; Weeks 11-12 handle design response.</x:v>
      </x:c>
      <x:c r="M20" s="321" t="str">
        <x:v>E</x:v>
      </x:c>
      <x:c r="N20" s="322" t="str">
        <x:v>Program primary outcome; design activities and portfolio evidence.</x:v>
      </x:c>
      <x:c r="O20" s="321" t="str">
        <x:v>E</x:v>
      </x:c>
      <x:c r="P20" s="322" t="str">
        <x:v>Program primary outcome; Weeks 1-2 design response.</x:v>
      </x:c>
      <x:c r="Q20" s="323" t="str">
        <x:v>Not applicable</x:v>
      </x:c>
      <x:c r="R20" s="324" t="str">
        <x:v>Not mapped - Folding Chair is a provisional/developing option outside the supplied formal program.</x:v>
      </x:c>
    </x:row>
    <x:row r="21" ht="54" customHeight="1">
      <x:c r="A21" s="319" t="str">
        <x:v>Future / new syllabus</x:v>
      </x:c>
      <x:c r="B21" s="320" t="str">
        <x:v>INT5-COM-01</x:v>
      </x:c>
      <x:c r="C21" s="320" t="str">
        <x:v>Primary outcome code listed in the supplied future program; authoritative description not supplied in the reviewed documents.</x:v>
      </x:c>
      <x:c r="D21" s="320" t="str">
        <x:v>2025 Timber program new syllabus.docx - Primary outcomes</x:v>
      </x:c>
      <x:c r="E21" s="321" t="str">
        <x:v>E</x:v>
      </x:c>
      <x:c r="F21" s="322" t="str">
        <x:v>Program primary outcome; annotated photo/caption folio and PDF output.</x:v>
      </x:c>
      <x:c r="G21" s="323" t="str">
        <x:v>Not applicable</x:v>
      </x:c>
      <x:c r="H21" s="322" t="str">
        <x:v>Not mapped - project is not named in the supplied future program.</x:v>
      </x:c>
      <x:c r="I21" s="321" t="str">
        <x:v>E</x:v>
      </x:c>
      <x:c r="J21" s="322" t="str">
        <x:v>Program primary outcome; drawing, captions and printable folio.</x:v>
      </x:c>
      <x:c r="K21" s="321" t="str">
        <x:v>E</x:v>
      </x:c>
      <x:c r="L21" s="322" t="str">
        <x:v>Program primary outcome; orthogonal drawing, captions and folio.</x:v>
      </x:c>
      <x:c r="M21" s="321" t="str">
        <x:v>E</x:v>
      </x:c>
      <x:c r="N21" s="322" t="str">
        <x:v>Program primary outcome; portfolio workbook, quizzes and folio.</x:v>
      </x:c>
      <x:c r="O21" s="321" t="str">
        <x:v>E</x:v>
      </x:c>
      <x:c r="P21" s="322" t="str">
        <x:v>Program primary outcome; evidence selection, captions and folio.</x:v>
      </x:c>
      <x:c r="Q21" s="323" t="str">
        <x:v>Not applicable</x:v>
      </x:c>
      <x:c r="R21" s="324" t="str">
        <x:v>Not mapped - Folding Chair is a provisional/developing option outside the supplied formal program.</x:v>
      </x:c>
    </x:row>
    <x:row r="22" ht="54" customHeight="1">
      <x:c r="A22" s="319" t="str">
        <x:v>Future / new syllabus</x:v>
      </x:c>
      <x:c r="B22" s="320" t="str">
        <x:v>INT5-EVL-01</x:v>
      </x:c>
      <x:c r="C22" s="320" t="str">
        <x:v>Primary outcome code listed in the supplied future program; authoritative description not supplied in the reviewed documents.</x:v>
      </x:c>
      <x:c r="D22" s="320" t="str">
        <x:v>2025 Timber program new syllabus.docx - Primary outcomes</x:v>
      </x:c>
      <x:c r="E22" s="321" t="str">
        <x:v>E</x:v>
      </x:c>
      <x:c r="F22" s="322" t="str">
        <x:v>Program primary outcome; Module 05 and folio evaluation.</x:v>
      </x:c>
      <x:c r="G22" s="323" t="str">
        <x:v>Not applicable</x:v>
      </x:c>
      <x:c r="H22" s="322" t="str">
        <x:v>Not mapped - project is not named in the supplied future program.</x:v>
      </x:c>
      <x:c r="I22" s="321" t="str">
        <x:v>E</x:v>
      </x:c>
      <x:c r="J22" s="322" t="str">
        <x:v>Program primary outcome; Weeks 17-20 PMI and QA evidence.</x:v>
      </x:c>
      <x:c r="K22" s="321" t="str">
        <x:v>E</x:v>
      </x:c>
      <x:c r="L22" s="322" t="str">
        <x:v>Program primary outcome; Weeks 19-20 PMI and correction evidence.</x:v>
      </x:c>
      <x:c r="M22" s="321" t="str">
        <x:v>E</x:v>
      </x:c>
      <x:c r="N22" s="322" t="str">
        <x:v>Program primary outcome; evaluation activities and portfolio response.</x:v>
      </x:c>
      <x:c r="O22" s="321" t="str">
        <x:v>E</x:v>
      </x:c>
      <x:c r="P22" s="322" t="str">
        <x:v>Program primary outcome; Weeks 17-20 evaluation and reflection.</x:v>
      </x:c>
      <x:c r="Q22" s="323" t="str">
        <x:v>Not applicable</x:v>
      </x:c>
      <x:c r="R22" s="324" t="str">
        <x:v>Not mapped - Folding Chair is a provisional/developing option outside the supplied formal program.</x:v>
      </x:c>
    </x:row>
    <x:row r="23" ht="54" customHeight="1">
      <x:c r="A23" s="319" t="str">
        <x:v>Future / new syllabus</x:v>
      </x:c>
      <x:c r="B23" s="320" t="str">
        <x:v>INT5-INP-01</x:v>
      </x:c>
      <x:c r="C23" s="320" t="str">
        <x:v>Primary outcome code listed in the supplied future program; authoritative description not supplied in the reviewed documents.</x:v>
      </x:c>
      <x:c r="D23" s="320" t="str">
        <x:v>2025 Timber program new syllabus.docx - Primary outcomes</x:v>
      </x:c>
      <x:c r="E23" s="323" t="str">
        <x:v>Not applicable</x:v>
      </x:c>
      <x:c r="F23" s="322" t="str">
        <x:v>Code is not listed as a primary outcome for this project in the supplied future program.</x:v>
      </x:c>
      <x:c r="G23" s="323" t="str">
        <x:v>Not applicable</x:v>
      </x:c>
      <x:c r="H23" s="322" t="str">
        <x:v>Not mapped - project is not named in the supplied future program.</x:v>
      </x:c>
      <x:c r="I23" s="321" t="str">
        <x:v>E</x:v>
      </x:c>
      <x:c r="J23" s="322" t="str">
        <x:v>Program primary outcome; planning, cutting list, WMS and production evidence.</x:v>
      </x:c>
      <x:c r="K23" s="321" t="str">
        <x:v>E</x:v>
      </x:c>
      <x:c r="L23" s="322" t="str">
        <x:v>Program primary outcome; planning, sequencing and production evidence.</x:v>
      </x:c>
      <x:c r="M23" s="321" t="str">
        <x:v>E</x:v>
      </x:c>
      <x:c r="N23" s="322" t="str">
        <x:v>Program primary outcome; plan-and-prepare and portfolio process evidence.</x:v>
      </x:c>
      <x:c r="O23" s="321" t="str">
        <x:v>E</x:v>
      </x:c>
      <x:c r="P23" s="322" t="str">
        <x:v>Program primary outcome; planning, sequencing and production evidence.</x:v>
      </x:c>
      <x:c r="Q23" s="323" t="str">
        <x:v>Not applicable</x:v>
      </x:c>
      <x:c r="R23" s="324" t="str">
        <x:v>Not mapped - Folding Chair is a provisional/developing option outside the supplied formal program.</x:v>
      </x:c>
    </x:row>
    <x:row r="24" ht="54" customHeight="1">
      <x:c r="A24" s="319" t="str">
        <x:v>Future / new syllabus</x:v>
      </x:c>
      <x:c r="B24" s="320" t="str">
        <x:v>INT5-ENV-01</x:v>
      </x:c>
      <x:c r="C24" s="320" t="str">
        <x:v>Primary outcome code listed in the supplied future program; authoritative description not supplied in the reviewed documents.</x:v>
      </x:c>
      <x:c r="D24" s="320" t="str">
        <x:v>2025 Timber program new syllabus.docx - Primary outcomes</x:v>
      </x:c>
      <x:c r="E24" s="323" t="str">
        <x:v>Not applicable</x:v>
      </x:c>
      <x:c r="F24" s="322" t="str">
        <x:v>Not listed as a Breadboard primary outcome; Module 04 does contain sustainability evidence.</x:v>
      </x:c>
      <x:c r="G24" s="323" t="str">
        <x:v>Not applicable</x:v>
      </x:c>
      <x:c r="H24" s="322" t="str">
        <x:v>Not mapped - project is not named in the supplied future program.</x:v>
      </x:c>
      <x:c r="I24" s="321" t="str">
        <x:v>E</x:v>
      </x:c>
      <x:c r="J24" s="322" t="str">
        <x:v>Program primary outcome; waste, material responsibility and folio sustainability evidence.</x:v>
      </x:c>
      <x:c r="K24" s="321" t="str">
        <x:v>E</x:v>
      </x:c>
      <x:c r="L24" s="322" t="str">
        <x:v>Program primary outcome; Weeks 3-4 responsible-use response.</x:v>
      </x:c>
      <x:c r="M24" s="321" t="str">
        <x:v>P</x:v>
      </x:c>
      <x:c r="N24" s="322" t="str">
        <x:v>Program primary outcome; sustainability is taught, but the evidence path is less explicit.</x:v>
      </x:c>
      <x:c r="O24" s="321" t="str">
        <x:v>E</x:v>
      </x:c>
      <x:c r="P24" s="322" t="str">
        <x:v>Program primary outcome; Weeks 15-16 lifecycle-impact response.</x:v>
      </x:c>
      <x:c r="Q24" s="323" t="str">
        <x:v>Not applicable</x:v>
      </x:c>
      <x:c r="R24" s="324" t="str">
        <x:v>Not mapped - Folding Chair is a provisional/developing option outside the supplied formal program.</x:v>
      </x:c>
    </x:row>
    <x:row r="25" ht="54" customHeight="1">
      <x:c r="A25" s="325" t="str">
        <x:v>Future / new syllabus</x:v>
      </x:c>
      <x:c r="B25" s="326" t="str">
        <x:v>INT5-IND-01</x:v>
      </x:c>
      <x:c r="C25" s="326" t="str">
        <x:v>Primary outcome code listed in the supplied future program; authoritative description not supplied in the reviewed documents.</x:v>
      </x:c>
      <x:c r="D25" s="326" t="str">
        <x:v>2025 Timber program new syllabus.docx - Primary outcomes</x:v>
      </x:c>
      <x:c r="E25" s="327" t="str">
        <x:v>Not applicable</x:v>
      </x:c>
      <x:c r="F25" s="328" t="str">
        <x:v>Code is not listed as a primary outcome for this project in the supplied future program.</x:v>
      </x:c>
      <x:c r="G25" s="327" t="str">
        <x:v>Not applicable</x:v>
      </x:c>
      <x:c r="H25" s="328" t="str">
        <x:v>Not mapped - project is not named in the supplied future program.</x:v>
      </x:c>
      <x:c r="I25" s="327" t="str">
        <x:v>Not applicable</x:v>
      </x:c>
      <x:c r="J25" s="328" t="str">
        <x:v>Code is not listed as a primary outcome for this project in the supplied future program.</x:v>
      </x:c>
      <x:c r="K25" s="329" t="str">
        <x:v>E</x:v>
      </x:c>
      <x:c r="L25" s="328" t="str">
        <x:v>Program primary outcome; Weeks 3-4 traditional/industrial practice response.</x:v>
      </x:c>
      <x:c r="M25" s="329" t="str">
        <x:v>P</x:v>
      </x:c>
      <x:c r="N25" s="328" t="str">
        <x:v>Program primary outcome; assessment names industry practices, but task detail is limited.</x:v>
      </x:c>
      <x:c r="O25" s="329" t="str">
        <x:v>P</x:v>
      </x:c>
      <x:c r="P25" s="328" t="str">
        <x:v>Program primary outcome; industry-quality practice is taught; dedicated evidence is limited.</x:v>
      </x:c>
      <x:c r="Q25" s="327" t="str">
        <x:v>Not applicable</x:v>
      </x:c>
      <x:c r="R25" s="330" t="str">
        <x:v>Not mapped - Folding Chair is a provisional/developing option outside the supplied formal program.</x:v>
      </x:c>
    </x:row>
  </x:sheetData>
  <x:mergeCells>
    <x:mergeCell ref="A1:R2"/>
    <x:mergeCell ref="A3:R4"/>
    <x:mergeCell ref="A5:A6"/>
    <x:mergeCell ref="B5:B6"/>
    <x:mergeCell ref="C5:C6"/>
    <x:mergeCell ref="D5:D6"/>
    <x:mergeCell ref="E5:F5"/>
    <x:mergeCell ref="I5:J5"/>
    <x:mergeCell ref="K5:L5"/>
    <x:mergeCell ref="M5:N5"/>
    <x:mergeCell ref="O5:P5"/>
    <x:mergeCell ref="G5:H5"/>
    <x:mergeCell ref="Q5:R5"/>
  </x:mergeCells>
  <x:dataValidations count="7">
    <x:dataValidation type="list" sqref="E7:E25">
      <x:formula1>"I,P,E,Gap,Partial,Not applicable,Not yet reviewed"</x:formula1>
    </x:dataValidation>
    <x:dataValidation type="list" sqref="G7:G25">
      <x:formula1>"I,P,E,Gap,Partial,Not applicable,Not yet reviewed"</x:formula1>
    </x:dataValidation>
    <x:dataValidation type="list" sqref="I7:I25">
      <x:formula1>"I,P,E,Gap,Partial,Not applicable,Not yet reviewed"</x:formula1>
    </x:dataValidation>
    <x:dataValidation type="list" sqref="K7:K25">
      <x:formula1>"I,P,E,Gap,Partial,Not applicable,Not yet reviewed"</x:formula1>
    </x:dataValidation>
    <x:dataValidation type="list" sqref="M7:M25">
      <x:formula1>"I,P,E,Gap,Partial,Not applicable,Not yet reviewed"</x:formula1>
    </x:dataValidation>
    <x:dataValidation type="list" sqref="O7:O25">
      <x:formula1>"I,P,E,Gap,Partial,Not applicable,Not yet reviewed"</x:formula1>
    </x:dataValidation>
    <x:dataValidation type="list" sqref="Q7:Q25">
      <x:formula1>"I,P,E,Gap,Partial,Not applicable,Not yet reviewed"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0" hidden="0" customWidth="1"/>
    <x:col min="3" max="3" width="24" hidden="0" customWidth="1"/>
    <x:col min="4" max="4" width="46" hidden="0" customWidth="1"/>
    <x:col min="5" max="5" width="24" hidden="0" customWidth="1"/>
    <x:col min="6" max="6" width="28" hidden="0" customWidth="1"/>
    <x:col min="7" max="7" width="30" hidden="0" customWidth="1"/>
    <x:col min="8" max="8" width="25" hidden="0" customWidth="1"/>
    <x:col min="9" max="9" width="16" hidden="0" customWidth="1"/>
    <x:col min="10" max="10" width="28" hidden="0" customWidth="1"/>
    <x:col min="11" max="11" width="14" hidden="0" customWidth="1"/>
  </x:cols>
  <x:sheetData>
    <x:row r="1">
      <x:c r="A1" s="3" t="str">
        <x:v>Project Evidence</x:v>
      </x:c>
      <x:c r="B1" s="3" t="str">
        <x:v>Project Evidence</x:v>
      </x:c>
      <x:c r="C1" s="3" t="str">
        <x:v>Project Evidence</x:v>
      </x:c>
      <x:c r="D1" s="3" t="str">
        <x:v>Project Evidence</x:v>
      </x:c>
      <x:c r="E1" s="3" t="str">
        <x:v>Project Evidence</x:v>
      </x:c>
      <x:c r="F1" s="3" t="str">
        <x:v>Project Evidence</x:v>
      </x:c>
      <x:c r="G1" s="3" t="str">
        <x:v>Project Evidence</x:v>
      </x:c>
      <x:c r="H1" s="3" t="str">
        <x:v>Project Evidence</x:v>
      </x:c>
      <x:c r="I1" s="3" t="str">
        <x:v>Project Evidence</x:v>
      </x:c>
      <x:c r="J1" s="3" t="str">
        <x:v>Project Evidence</x:v>
      </x:c>
      <x:c r="K1" s="3" t="str">
        <x:v>Project Evidence</x:v>
      </x:c>
    </x:row>
    <x:row r="2">
      <x:c r="A2" s="3" t="str">
        <x:v>Project Evidence</x:v>
      </x:c>
      <x:c r="B2" s="3" t="str">
        <x:v>Project Evidence</x:v>
      </x:c>
      <x:c r="C2" s="3" t="str">
        <x:v>Project Evidence</x:v>
      </x:c>
      <x:c r="D2" s="3" t="str">
        <x:v>Project Evidence</x:v>
      </x:c>
      <x:c r="E2" s="3" t="str">
        <x:v>Project Evidence</x:v>
      </x:c>
      <x:c r="F2" s="3" t="str">
        <x:v>Project Evidence</x:v>
      </x:c>
      <x:c r="G2" s="3" t="str">
        <x:v>Project Evidence</x:v>
      </x:c>
      <x:c r="H2" s="3" t="str">
        <x:v>Project Evidence</x:v>
      </x:c>
      <x:c r="I2" s="3" t="str">
        <x:v>Project Evidence</x:v>
      </x:c>
      <x:c r="J2" s="3" t="str">
        <x:v>Project Evidence</x:v>
      </x:c>
      <x:c r="K2" s="3" t="str">
        <x:v>Project Evidence</x:v>
      </x:c>
    </x:row>
    <x:row r="3">
      <x:c r="A3" s="7" t="str">
        <x:v>Reviewed evidence register in the required teaching sequence. Findings describe what the published site can teach or capture; they do not substitute for teacher observation, submitted student work or an authorised assessment schedule.</x:v>
      </x:c>
      <x:c r="B3" s="7" t="str">
        <x:v>Reviewed evidence register in the required teaching sequence. Findings describe what the published site can teach or capture; they do not substitute for teacher observation, submitted student work or an authorised assessment schedule.</x:v>
      </x:c>
      <x:c r="C3" s="7" t="str">
        <x:v>Reviewed evidence register in the required teaching sequence. Findings describe what the published site can teach or capture; they do not substitute for teacher observation, submitted student work or an authorised assessment schedule.</x:v>
      </x:c>
      <x:c r="D3" s="7" t="str">
        <x:v>Reviewed evidence register in the required teaching sequence. Findings describe what the published site can teach or capture; they do not substitute for teacher observation, submitted student work or an authorised assessment schedule.</x:v>
      </x:c>
      <x:c r="E3" s="7" t="str">
        <x:v>Reviewed evidence register in the required teaching sequence. Findings describe what the published site can teach or capture; they do not substitute for teacher observation, submitted student work or an authorised assessment schedule.</x:v>
      </x:c>
      <x:c r="F3" s="7" t="str">
        <x:v>Reviewed evidence register in the required teaching sequence. Findings describe what the published site can teach or capture; they do not substitute for teacher observation, submitted student work or an authorised assessment schedule.</x:v>
      </x:c>
      <x:c r="G3" s="7" t="str">
        <x:v>Reviewed evidence register in the required teaching sequence. Findings describe what the published site can teach or capture; they do not substitute for teacher observation, submitted student work or an authorised assessment schedule.</x:v>
      </x:c>
      <x:c r="H3" s="7" t="str">
        <x:v>Reviewed evidence register in the required teaching sequence. Findings describe what the published site can teach or capture; they do not substitute for teacher observation, submitted student work or an authorised assessment schedule.</x:v>
      </x:c>
      <x:c r="I3" s="7" t="str">
        <x:v>Reviewed evidence register in the required teaching sequence. Findings describe what the published site can teach or capture; they do not substitute for teacher observation, submitted student work or an authorised assessment schedule.</x:v>
      </x:c>
      <x:c r="J3" s="7" t="str">
        <x:v>Reviewed evidence register in the required teaching sequence. Findings describe what the published site can teach or capture; they do not substitute for teacher observation, submitted student work or an authorised assessment schedule.</x:v>
      </x:c>
      <x:c r="K3" s="7" t="str">
        <x:v>Reviewed evidence register in the required teaching sequence. Findings describe what the published site can teach or capture; they do not substitute for teacher observation, submitted student work or an authorised assessment schedule.</x:v>
      </x:c>
    </x:row>
    <x:row r="4">
      <x:c r="A4" s="119" t="str">
        <x:v>Stage</x:v>
      </x:c>
      <x:c r="B4" s="119" t="str">
        <x:v>Project</x:v>
      </x:c>
      <x:c r="C4" s="119" t="str">
        <x:v>Year / status</x:v>
      </x:c>
      <x:c r="D4" s="119" t="str">
        <x:v>Live site</x:v>
      </x:c>
      <x:c r="E4" s="119" t="str">
        <x:v>Source plans</x:v>
      </x:c>
      <x:c r="F4" s="119" t="str">
        <x:v>Active student evidence</x:v>
      </x:c>
      <x:c r="G4" s="119" t="str">
        <x:v>Assessment / folio evidence</x:v>
      </x:c>
      <x:c r="H4" s="119" t="str">
        <x:v>Gaps / risks</x:v>
      </x:c>
      <x:c r="I4" s="119" t="str">
        <x:v>Audit status</x:v>
      </x:c>
      <x:c r="J4" s="119" t="str">
        <x:v>Reviewer notes</x:v>
      </x:c>
      <x:c r="K4" s="119" t="str">
        <x:v>Date reviewed</x:v>
      </x:c>
    </x:row>
    <x:row r="5" ht="170" customHeight="1">
      <x:c r="A5" s="47" t="n">
        <x:v>1</x:v>
      </x:c>
      <x:c r="B5" s="30" t="str">
        <x:v>Breadboard</x:v>
      </x:c>
      <x:c r="C5" s="30" t="str">
        <x:v>Year 9 · supplied current program</x:v>
      </x:c>
      <x:c r="D5" s="30" t="str">
        <x:v>https://stevencowell.github.io/bread-board-guided-course/</x:v>
      </x:c>
      <x:c r="E5" s="94" t="str">
        <x:v>https://stevencowell.github.io/bread-board-guided-course/assets/breadboard-plans.pdf</x:v>
      </x:c>
      <x:c r="F5" s="94" t="str">
        <x:v>5 guided modules; saved MCQ/written responses; folio with 12 photo/caption checkpoints; Print/Save PDF.
Local implementation 2026-08-02 — Module 05 activity 1 captures peer feedback given/received, one improvement and a result check; it autosaves and is included in Print / Save PDF. Live verified 2026-08-02 (S18).</x:v>
      </x:c>
      <x:c r="G5" s="94" t="str">
        <x:v>Live verified assessment-evidence destination: https://stevencowell.github.io/bread-board-guided-course/breadboard-folio.html - 12 project checkpoints, photo/caption evidence, autosave, backup and Print / Save PDF. It is not a formal task notification or marking rubric.</x:v>
      </x:c>
      <x:c r="H5" s="94" t="str">
        <x:v>Assessment access closed and verified 2026-08-02. Formal task notices, dates, marks and Classroom submission remain teacher-controlled.</x:v>
      </x:c>
      <x:c r="I5" s="94" t="str">
        <x:v>Reviewed</x:v>
      </x:c>
      <x:c r="J5" s="30" t="str">
        <x:v>Current-program project. Webpage capability audited; this does not assert individual student achievement. IND56 evidence is live and verified 2026-08-02 (S18).</x:v>
      </x:c>
      <x:c r="K5" s="31" t="str">
        <x:v>2026-08-02</x:v>
      </x:c>
    </x:row>
    <x:row r="6" ht="92" customHeight="1">
      <x:c r="A6" s="337" t="n">
        <x:v>2</x:v>
      </x:c>
      <x:c r="B6" s="335" t="str">
        <x:v>Small Box</x:v>
      </x:c>
      <x:c r="C6" s="335" t="str">
        <x:v>Year 9 · local addition; outside supplied current program</x:v>
      </x:c>
      <x:c r="D6" s="335" t="str">
        <x:v>https://stevencowell.github.io/Small-Box/</x:v>
      </x:c>
      <x:c r="E6" s="335" t="str">
        <x:v>No source-plan file is linked from the live site.</x:v>
      </x:c>
      <x:c r="F6" s="494" t="str">
        <x:v>3 guided modules with saved MCQ/written responses; printable project folio.</x:v>
      </x:c>
      <x:c r="G6" s="494" t="str">
        <x:v>smallbox-folio.html provides folio evidence. No separate assessment brief was linked.</x:v>
      </x:c>
      <x:c r="H6" s="494" t="str">
        <x:v>SCOPE-02 — local addition. No linked source plan; design/transfer/impact evidence remains a local improvement, not a current formal-program gap.</x:v>
      </x:c>
      <x:c r="I6" s="494" t="str">
        <x:v>Reviewed</x:v>
      </x:c>
      <x:c r="J6" s="494" t="str">
        <x:v>Local addition not named in the supplied current program; excluded from formal-current pathway status.</x:v>
      </x:c>
      <x:c r="K6" s="495" t="str">
        <x:v>2026-08-01</x:v>
      </x:c>
    </x:row>
    <x:row r="7" ht="92" customHeight="1">
      <x:c r="A7" s="48" t="n">
        <x:v>3</x:v>
      </x:c>
      <x:c r="B7" s="33" t="str">
        <x:v>Clock</x:v>
      </x:c>
      <x:c r="C7" s="33" t="str">
        <x:v>Year 9 · supplied current program</x:v>
      </x:c>
      <x:c r="D7" s="33" t="str">
        <x:v>https://stevencowell.github.io/Yr-9-Clock/</x:v>
      </x:c>
      <x:c r="E7" s="96" t="str">
        <x:v>Drawing 1 (1).pdf is linked from the live site.</x:v>
      </x:c>
      <x:c r="F7" s="96" t="str">
        <x:v>10 guided modules with saved MCQ/written responses; printable Clock folio.</x:v>
      </x:c>
      <x:c r="G7" s="96" t="str">
        <x:v>clock-folio.html plus Clock Assessment Criteria.pdf.</x:v>
      </x:c>
      <x:c r="H7" s="96" t="str">
        <x:v>IND59 is explicitly evidenced here; shared-equipment practice lacks an inspectable participant record (CUR-01).</x:v>
      </x:c>
      <x:c r="I7" s="96" t="str">
        <x:v>Reviewed</x:v>
      </x:c>
      <x:c r="J7" s="33" t="str">
        <x:v>Current-program project. Strong design, production, technology, communication, evaluation and transfer evidence.</x:v>
      </x:c>
      <x:c r="K7" s="34" t="str">
        <x:v>2026-08-01</x:v>
      </x:c>
    </x:row>
    <x:row r="8" ht="170" customHeight="1">
      <x:c r="A8" s="48" t="n">
        <x:v>4</x:v>
      </x:c>
      <x:c r="B8" s="33" t="str">
        <x:v>Tool Carry-all</x:v>
      </x:c>
      <x:c r="C8" s="33" t="str">
        <x:v>Year 9 · supplied current program</x:v>
      </x:c>
      <x:c r="D8" s="33" t="str">
        <x:v>https://stevencowell.github.io/Yr-9-Carry-All/</x:v>
      </x:c>
      <x:c r="E8" s="96" t="str">
        <x:v>Carry-All Working Drawing.pdf is linked from the live site.</x:v>
      </x:c>
      <x:c r="F8" s="96" t="str">
        <x:v>10 guided modules with saved MCQ/written responses; printable Carry-all folio.</x:v>
      </x:c>
      <x:c r="G8" s="96" t="str">
        <x:v>Live verified assessment-evidence destination: https://stevencowell.github.io/Yr-9-Carry-All/carry-all-folio.html - 12 project cards, responses/photos, progress, autosave, ZIP backup and Print / Save PDF. It is not a formal task notification or marking rubric.</x:v>
      </x:c>
      <x:c r="H8" s="96" t="str">
        <x:v>IND59 is introductory here. Assessment access closed and verified 2026-08-02; formal task notices and Classroom submission remain teacher-controlled.</x:v>
      </x:c>
      <x:c r="I8" s="96" t="str">
        <x:v>Reviewed</x:v>
      </x:c>
      <x:c r="J8" s="33" t="str">
        <x:v>Current-program project. Cultural/responsible-use evidence is explicit in Weeks 3–4.</x:v>
      </x:c>
      <x:c r="K8" s="34" t="str">
        <x:v>2026-08-01</x:v>
      </x:c>
    </x:row>
    <x:row r="9" ht="170" customHeight="1">
      <x:c r="A9" s="48" t="n">
        <x:v>5</x:v>
      </x:c>
      <x:c r="B9" s="33" t="str">
        <x:v>Mirror</x:v>
      </x:c>
      <x:c r="C9" s="33" t="str">
        <x:v>Year 10 · supplied current program</x:v>
      </x:c>
      <x:c r="D9" s="33" t="str">
        <x:v>https://stevencowell.github.io/year-10-timber-mirror-project/</x:v>
      </x:c>
      <x:c r="E9" s="96" t="str">
        <x:v>Mirror-Project-Plans.pdf is linked from the live site.</x:v>
      </x:c>
      <x:c r="F9" s="96" t="str">
        <x:v>9 live theory/activity pages, quizzes and editable portfolio workbook; separate folio; 20 repaired support-week routes. The live Portfolio Workbook Peer Quality Check and Workshop Handover captures reviewer roles, observable criterion/evidence, feedback, a justified decision, result check and workshop handover.</x:v>
      </x:c>
      <x:c r="G9" s="96" t="str">
        <x:v>mirror_assessment.html identifies practical, folio and class-test evidence and now includes the peer quality-check and handover record in the portfolio evidence checklist and rubric. Live verified 2026-08-02.</x:v>
      </x:c>
      <x:c r="H9" s="96" t="str">
        <x:v>IND56 project evidence is closed and verified. IND59 is course context here, not a separate Mirror assessment claim; Clock is the designated pathway E point.</x:v>
      </x:c>
      <x:c r="I9" s="96" t="str">
        <x:v>Reviewed - live evidence verified</x:v>
      </x:c>
      <x:c r="J9" s="33" t="str">
        <x:v>Current-program project. Collaboration evidence and assessment-rubric traceability live verified 2026-08-02 (commit 9668c52; S19). This records an evidence opportunity, not individual student achievement.</x:v>
      </x:c>
      <x:c r="K9" s="34" t="str">
        <x:v>2026-08-02</x:v>
      </x:c>
    </x:row>
    <x:row r="10" ht="170" customHeight="1">
      <x:c r="A10" s="48" t="n">
        <x:v>6</x:v>
      </x:c>
      <x:c r="B10" s="33" t="str">
        <x:v>Bedside Table</x:v>
      </x:c>
      <x:c r="C10" s="33" t="str">
        <x:v>Year 10 · supplied current program</x:v>
      </x:c>
      <x:c r="D10" s="33" t="str">
        <x:v>https://stevencowell.github.io/bedside-table-guided-course/</x:v>
      </x:c>
      <x:c r="E10" s="96" t="str">
        <x:v>Bedside-Table-Project-Plans.pdf and example SDS are linked.</x:v>
      </x:c>
      <x:c r="F10" s="96" t="str">
        <x:v>10 guided modules with saved MCQ/written responses; printable project folio.
Local implementation 2026-08-02 — Weeks 19–20 response 1 captures participant roles, peer QA critique, a justified technical decision, feedback-used evidence and workshop handover contribution; it autosaves and is included in Download PDF. Live verified 2026-08-02 (S18).</x:v>
      </x:c>
      <x:c r="G10" s="96" t="str">
        <x:v>Live verified assessment-evidence destination: https://stevencowell.github.io/bedside-table-guided-course/bedside-table-folio.html - 12 evidence cards, responses/photos, progress, ZIP/JSON backup and Print / Save PDF. It is not a formal task notification or marking rubric.</x:v>
      </x:c>
      <x:c r="H10" s="96" t="str">
        <x:v>Culminating evidence is broad. Assessment access closed and verified 2026-08-02; formal task notices and Classroom submission remain teacher-controlled. IND56 live evidence remains verified (S18).</x:v>
      </x:c>
      <x:c r="I10" s="96" t="str">
        <x:v>Reviewed</x:v>
      </x:c>
      <x:c r="J10" s="33" t="str">
        <x:v>Current-program culminating project with strong process, safety, sustainability, communication and evaluation evidence. Deeper IND56 evidence is live and verified 2026-08-02 (S18).</x:v>
      </x:c>
      <x:c r="K10" s="34" t="str">
        <x:v>2026-08-02</x:v>
      </x:c>
    </x:row>
    <x:row r="11" ht="92" customHeight="1">
      <x:c r="A11" s="341" t="n">
        <x:v>7</x:v>
      </x:c>
      <x:c r="B11" s="342" t="str">
        <x:v>Folding Chair</x:v>
      </x:c>
      <x:c r="C11" s="342" t="str">
        <x:v>Year 10 · local developing option; outside supplied current program</x:v>
      </x:c>
      <x:c r="D11" s="342" t="str">
        <x:v>https://stevencowell.github.io/folding-chair-guided-course/</x:v>
      </x:c>
      <x:c r="E11" s="342" t="str">
        <x:v>Folding-Chair-Project-Plans.pdf and example SDS are linked.</x:v>
      </x:c>
      <x:c r="F11" s="342" t="str">
        <x:v>10 guided modules with saved MCQ/written responses; CAD task; printable project folio.</x:v>
      </x:c>
      <x:c r="G11" s="342" t="str">
        <x:v>folding-chair-folio.html provides staged evidence. No separate assessment brief was linked.</x:v>
      </x:c>
      <x:c r="H11" s="342" t="str">
        <x:v>SCOPE-02 — local developing option. Local collaboration evidence is not counted as a current formal-program gap.</x:v>
      </x:c>
      <x:c r="I11" s="342" t="str">
        <x:v>Reviewed</x:v>
      </x:c>
      <x:c r="J11" s="342" t="str">
        <x:v>Local developing option not named in the supplied current program; excluded from formal-current pathway status.</x:v>
      </x:c>
      <x:c r="K11" s="343" t="str">
        <x:v>2026-08-01</x:v>
      </x:c>
    </x:row>
  </x:sheetData>
  <x:mergeCells>
    <x:mergeCell ref="A1:K2"/>
    <x:mergeCell ref="A3:K3"/>
  </x:mergeCells>
  <x:dataValidations count="1">
    <x:dataValidation type="list" sqref="I5:I11">
      <x:formula1>"Not started,In progress,Reviewed"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24" hidden="0" customWidth="1"/>
    <x:col min="4" max="4" width="23" hidden="0" customWidth="1"/>
    <x:col min="5" max="5" width="72" hidden="0" customWidth="1"/>
    <x:col min="6" max="6" width="34" hidden="0" customWidth="1"/>
    <x:col min="7" max="7" width="20" hidden="0" customWidth="1"/>
    <x:col min="8" max="8" width="38" hidden="0" customWidth="1"/>
  </x:cols>
  <x:sheetData>
    <x:row r="1">
      <x:c r="A1" s="3" t="str">
        <x:v>Source Register</x:v>
      </x:c>
      <x:c r="B1" s="3" t="str">
        <x:v>Source Register</x:v>
      </x:c>
      <x:c r="C1" s="3" t="str">
        <x:v>Source Register</x:v>
      </x:c>
      <x:c r="D1" s="3" t="str">
        <x:v>Source Register</x:v>
      </x:c>
      <x:c r="E1" s="3" t="str">
        <x:v>Source Register</x:v>
      </x:c>
      <x:c r="F1" s="3" t="str">
        <x:v>Source Register</x:v>
      </x:c>
      <x:c r="G1" s="3" t="str">
        <x:v>Source Register</x:v>
      </x:c>
      <x:c r="H1" s="3" t="str">
        <x:v>Source Register</x:v>
      </x:c>
    </x:row>
    <x:row r="2">
      <x:c r="A2" s="3" t="str">
        <x:v>Source Register</x:v>
      </x:c>
      <x:c r="B2" s="3" t="str">
        <x:v>Source Register</x:v>
      </x:c>
      <x:c r="C2" s="3" t="str">
        <x:v>Source Register</x:v>
      </x:c>
      <x:c r="D2" s="3" t="str">
        <x:v>Source Register</x:v>
      </x:c>
      <x:c r="E2" s="3" t="str">
        <x:v>Source Register</x:v>
      </x:c>
      <x:c r="F2" s="3" t="str">
        <x:v>Source Register</x:v>
      </x:c>
      <x:c r="G2" s="3" t="str">
        <x:v>Source Register</x:v>
      </x:c>
      <x:c r="H2" s="3" t="str">
        <x:v>Source Register</x:v>
      </x:c>
    </x:row>
    <x:row r="3">
      <x:c r="A3" s="7" t="str">
        <x:v>Source authority and support destinations for the alignment audit. A supplied destination is recorded as a source location, not as proof of a particular alignment or assessment claim.</x:v>
      </x:c>
      <x:c r="B3" s="7" t="str">
        <x:v>Source authority and support destinations for the alignment audit. A supplied destination is recorded as a source location, not as proof of a particular alignment or assessment claim.</x:v>
      </x:c>
      <x:c r="C3" s="7" t="str">
        <x:v>Source authority and support destinations for the alignment audit. A supplied destination is recorded as a source location, not as proof of a particular alignment or assessment claim.</x:v>
      </x:c>
      <x:c r="D3" s="7" t="str">
        <x:v>Source authority and support destinations for the alignment audit. A supplied destination is recorded as a source location, not as proof of a particular alignment or assessment claim.</x:v>
      </x:c>
      <x:c r="E3" s="7" t="str">
        <x:v>Source authority and support destinations for the alignment audit. A supplied destination is recorded as a source location, not as proof of a particular alignment or assessment claim.</x:v>
      </x:c>
      <x:c r="F3" s="7" t="str">
        <x:v>Source authority and support destinations for the alignment audit. A supplied destination is recorded as a source location, not as proof of a particular alignment or assessment claim.</x:v>
      </x:c>
      <x:c r="G3" s="7" t="str">
        <x:v>Source authority and support destinations for the alignment audit. A supplied destination is recorded as a source location, not as proof of a particular alignment or assessment claim.</x:v>
      </x:c>
      <x:c r="H3" s="7" t="str">
        <x:v>Source authority and support destinations for the alignment audit. A supplied destination is recorded as a source location, not as proof of a particular alignment or assessment claim.</x:v>
      </x:c>
    </x:row>
    <x:row r="4">
      <x:c r="A4" s="119" t="str">
        <x:v>ID</x:v>
      </x:c>
      <x:c r="B4" s="119" t="str">
        <x:v>Source / resource</x:v>
      </x:c>
      <x:c r="C4" s="119" t="str">
        <x:v>Source category</x:v>
      </x:c>
      <x:c r="D4" s="119" t="str">
        <x:v>Curriculum context</x:v>
      </x:c>
      <x:c r="E4" s="119" t="str">
        <x:v>Location</x:v>
      </x:c>
      <x:c r="F4" s="119" t="str">
        <x:v>Evidence role</x:v>
      </x:c>
      <x:c r="G4" s="119" t="str">
        <x:v>Review status</x:v>
      </x:c>
      <x:c r="H4" s="119" t="str">
        <x:v>Notes</x:v>
      </x:c>
    </x:row>
    <x:row r="5" ht="64" customHeight="1">
      <x:c r="A5" s="126" t="str">
        <x:v>S01</x:v>
      </x:c>
      <x:c r="B5" s="87" t="str">
        <x:v>Current Stage 5 Timber program</x:v>
      </x:c>
      <x:c r="C5" s="87" t="str">
        <x:v>Program document (DOCX)</x:v>
      </x:c>
      <x:c r="D5" s="87" t="str">
        <x:v>Current program</x:v>
      </x:c>
      <x:c r="E5" s="87" t="str">
        <x:v>C:/Users/scowell1/Downloads/stage_5_timber_2021-06-16.docx</x:v>
      </x:c>
      <x:c r="F5" s="87" t="str">
        <x:v>Current outcome statements and teaching-program evidence</x:v>
      </x:c>
      <x:c r="G5" s="87" t="str">
        <x:v>Reviewed 2026-08-02</x:v>
      </x:c>
      <x:c r="H5" s="127" t="str">
        <x:v>Primary authority for exact current outcome wording, formal project sequence, 77 unique top-level content statements and 253 statement placements. SHA-256: D3B8CA8A73AFF66FC101ECAE97B7BAB6F16604CF885D78D9A955EEBF23FF6926.</x:v>
      </x:c>
    </x:row>
    <x:row r="6" ht="64" customHeight="1">
      <x:c r="A6" s="128" t="str">
        <x:v>S02</x:v>
      </x:c>
      <x:c r="B6" s="89" t="str">
        <x:v>2025 Timber program new syllabus</x:v>
      </x:c>
      <x:c r="C6" s="89" t="str">
        <x:v>Program document (DOCX)</x:v>
      </x:c>
      <x:c r="D6" s="89" t="str">
        <x:v>Future / new syllabus</x:v>
      </x:c>
      <x:c r="E6" s="89" t="str">
        <x:v>C:/Users/scowell1/Downloads/2025 Timber program new syllabus.docx</x:v>
      </x:c>
      <x:c r="F6" s="89" t="str">
        <x:v>Future outcome codes, primary project mappings and sequence</x:v>
      </x:c>
      <x:c r="G6" s="89" t="str">
        <x:v>Reviewed 2026-08-01</x:v>
      </x:c>
      <x:c r="H6" s="129" t="str">
        <x:v>Used only for named primary codes; descriptions were not invented.</x:v>
      </x:c>
    </x:row>
    <x:row r="7" ht="64" customHeight="1">
      <x:c r="A7" s="130" t="str">
        <x:v>S03</x:v>
      </x:c>
      <x:c r="B7" s="91" t="str">
        <x:v>Stage 5 Timber source folder</x:v>
      </x:c>
      <x:c r="C7" s="91" t="str">
        <x:v>Google Drive folder</x:v>
      </x:c>
      <x:c r="D7" s="91" t="str">
        <x:v>Current / support</x:v>
      </x:c>
      <x:c r="E7" s="91" t="str">
        <x:v>https://drive.google.com/drive/folders/0B40F5Y8uF0rvWXVWRTdZOXBhYW8?resourcekey=0-PKHpw6P8cBni3_TenUddmg</x:v>
      </x:c>
      <x:c r="F7" s="91" t="str">
        <x:v>Source plans and course files</x:v>
      </x:c>
      <x:c r="G7" s="91" t="str">
        <x:v>Destination supplied</x:v>
      </x:c>
      <x:c r="H7" s="131" t="str">
        <x:v>Individual Drive contents were not treated as evidence unless linked from a reviewed site.</x:v>
      </x:c>
    </x:row>
    <x:row r="8" ht="64" customHeight="1">
      <x:c r="A8" s="130" t="str">
        <x:v>S04</x:v>
      </x:c>
      <x:c r="B8" s="91" t="str">
        <x:v>Scope and Sequence</x:v>
      </x:c>
      <x:c r="C8" s="91" t="str">
        <x:v>Google Drive folder</x:v>
      </x:c>
      <x:c r="D8" s="91" t="str">
        <x:v>Current program</x:v>
      </x:c>
      <x:c r="E8" s="91" t="str">
        <x:v>https://drive.google.com/drive/folders/0B40F5Y8uF0rvam9TY05lNlYzdTg?resourcekey=0-citNRYhW5qzm70Nu3vHFLw</x:v>
      </x:c>
      <x:c r="F8" s="91" t="str">
        <x:v>Course sequencing reference</x:v>
      </x:c>
      <x:c r="G8" s="91" t="str">
        <x:v>Destination supplied</x:v>
      </x:c>
      <x:c r="H8" s="131" t="str">
        <x:v>No assessment dates or weightings inferred.</x:v>
      </x:c>
    </x:row>
    <x:row r="9" ht="64" customHeight="1">
      <x:c r="A9" s="130" t="str">
        <x:v>S05</x:v>
      </x:c>
      <x:c r="B9" s="91" t="str">
        <x:v>Industrial Technology Years 7-10 syllabus</x:v>
      </x:c>
      <x:c r="C9" s="91" t="str">
        <x:v>Google Drive file</x:v>
      </x:c>
      <x:c r="D9" s="91" t="str">
        <x:v>Current syllabus</x:v>
      </x:c>
      <x:c r="E9" s="91" t="str">
        <x:v>https://drive.google.com/file/d/1XgqQxu57J5hIB7IgD8GEcLKAHINAP1WnpiJ7Fz0wLEo/view</x:v>
      </x:c>
      <x:c r="F9" s="91" t="str">
        <x:v>Current syllabus authority</x:v>
      </x:c>
      <x:c r="G9" s="91" t="str">
        <x:v>Destination supplied</x:v>
      </x:c>
      <x:c r="H9" s="131" t="str">
        <x:v>Current wording was cross-checked to the supplied current program document.</x:v>
      </x:c>
    </x:row>
    <x:row r="10" ht="64" customHeight="1">
      <x:c r="A10" s="130" t="str">
        <x:v>S06</x:v>
      </x:c>
      <x:c r="B10" s="91" t="str">
        <x:v>Future 2025 Timber program Google document</x:v>
      </x:c>
      <x:c r="C10" s="91" t="str">
        <x:v>Google Drive file</x:v>
      </x:c>
      <x:c r="D10" s="91" t="str">
        <x:v>Future / new syllabus</x:v>
      </x:c>
      <x:c r="E10" s="91" t="str">
        <x:v>https://drive.google.com/file/d/1uaUkYFo5Vs2QgyGCQtiLwO97r7wMdTFfoqPpDxQVR0A/view</x:v>
      </x:c>
      <x:c r="F10" s="91" t="str">
        <x:v>Future program source</x:v>
      </x:c>
      <x:c r="G10" s="91" t="str">
        <x:v>Destination supplied</x:v>
      </x:c>
      <x:c r="H10" s="131" t="str">
        <x:v>Local DOCX was the reviewed copy for this audit.</x:v>
      </x:c>
    </x:row>
    <x:row r="11" ht="64" customHeight="1">
      <x:c r="A11" s="130" t="str">
        <x:v>S07</x:v>
      </x:c>
      <x:c r="B11" s="91" t="str">
        <x:v>Year 9 Timber Theory Questions</x:v>
      </x:c>
      <x:c r="C11" s="91" t="str">
        <x:v>Google Drive file</x:v>
      </x:c>
      <x:c r="D11" s="91" t="str">
        <x:v>Student support</x:v>
      </x:c>
      <x:c r="E11" s="91" t="str">
        <x:v>https://drive.google.com/file/d/1czPigBkVqII-JAMcYs9_q6FvGPmz8rL4sJhd_RE_5lY/view</x:v>
      </x:c>
      <x:c r="F11" s="91" t="str">
        <x:v>Additional theory support</x:v>
      </x:c>
      <x:c r="G11" s="91" t="str">
        <x:v>Registered, not mapped</x:v>
      </x:c>
      <x:c r="H11" s="131" t="str">
        <x:v>Not used to inflate project webpage evidence.</x:v>
      </x:c>
    </x:row>
    <x:row r="12" ht="64" customHeight="1">
      <x:c r="A12" s="130" t="str">
        <x:v>S08</x:v>
      </x:c>
      <x:c r="B12" s="91" t="str">
        <x:v>Timber Furniture Research Task</x:v>
      </x:c>
      <x:c r="C12" s="91" t="str">
        <x:v>Google Drive file</x:v>
      </x:c>
      <x:c r="D12" s="91" t="str">
        <x:v>Assessment / research support</x:v>
      </x:c>
      <x:c r="E12" s="91" t="str">
        <x:v>https://drive.google.com/file/d/1gnuK1BcZW6gU03FKI52ZOfosYzS0tcsD1m98xe3ZHL0/view</x:v>
      </x:c>
      <x:c r="F12" s="91" t="str">
        <x:v>Potential research-task evidence</x:v>
      </x:c>
      <x:c r="G12" s="91" t="str">
        <x:v>Registered, not allocated</x:v>
      </x:c>
      <x:c r="H12" s="131" t="str">
        <x:v>No project allocation, date or weighting inferred.</x:v>
      </x:c>
    </x:row>
    <x:row r="13" ht="64" customHeight="1">
      <x:c r="A13" s="130" t="str">
        <x:v>S09</x:v>
      </x:c>
      <x:c r="B13" s="91" t="str">
        <x:v>Industrial Tech Timber Resources and Tips</x:v>
      </x:c>
      <x:c r="C13" s="91" t="str">
        <x:v>Google Drive file</x:v>
      </x:c>
      <x:c r="D13" s="91" t="str">
        <x:v>Course support</x:v>
      </x:c>
      <x:c r="E13" s="91" t="str">
        <x:v>https://drive.google.com/file/d/16CDNbxJ7urw6sEhyIvHPfn1RlA86VnkI/view</x:v>
      </x:c>
      <x:c r="F13" s="91" t="str">
        <x:v>Teacher and student support resource</x:v>
      </x:c>
      <x:c r="G13" s="91" t="str">
        <x:v>Registered, not mapped</x:v>
      </x:c>
      <x:c r="H13" s="131" t="str">
        <x:v>Not used to inflate project webpage evidence.</x:v>
      </x:c>
    </x:row>
    <x:row r="14" ht="64" customHeight="1">
      <x:c r="A14" s="128" t="str">
        <x:v>S10</x:v>
      </x:c>
      <x:c r="B14" s="89" t="str">
        <x:v>Breadboard guided course</x:v>
      </x:c>
      <x:c r="C14" s="89" t="str">
        <x:v>Live project website</x:v>
      </x:c>
      <x:c r="D14" s="89" t="str">
        <x:v>Stage 1 / Year 9</x:v>
      </x:c>
      <x:c r="E14" s="89" t="str">
        <x:v>https://stevencowell.github.io/bread-board-guided-course/</x:v>
      </x:c>
      <x:c r="F14" s="89" t="str">
        <x:v>Modules, active responses, folio and plan</x:v>
      </x:c>
      <x:c r="G14" s="89" t="str">
        <x:v>Reviewed 2026-08-01</x:v>
      </x:c>
      <x:c r="H14" s="129" t="str">
        <x:v>7 live HTML pages; linked plan available.</x:v>
      </x:c>
    </x:row>
    <x:row r="15" ht="64" customHeight="1">
      <x:c r="A15" s="128" t="str">
        <x:v>S11</x:v>
      </x:c>
      <x:c r="B15" s="89" t="str">
        <x:v>Small Box guided course</x:v>
      </x:c>
      <x:c r="C15" s="89" t="str">
        <x:v>Live project website</x:v>
      </x:c>
      <x:c r="D15" s="89" t="str">
        <x:v>Stage 2 / Year 9</x:v>
      </x:c>
      <x:c r="E15" s="89" t="str">
        <x:v>https://stevencowell.github.io/Small-Box/</x:v>
      </x:c>
      <x:c r="F15" s="89" t="str">
        <x:v>Modules and folio</x:v>
      </x:c>
      <x:c r="G15" s="89" t="str">
        <x:v>Reviewed 2026-08-01</x:v>
      </x:c>
      <x:c r="H15" s="129" t="str">
        <x:v>5 live HTML pages; no source-plan file linked.</x:v>
      </x:c>
    </x:row>
    <x:row r="16" ht="64" customHeight="1">
      <x:c r="A16" s="128" t="str">
        <x:v>S12</x:v>
      </x:c>
      <x:c r="B16" s="89" t="str">
        <x:v>Clock guided course</x:v>
      </x:c>
      <x:c r="C16" s="89" t="str">
        <x:v>Live project website</x:v>
      </x:c>
      <x:c r="D16" s="89" t="str">
        <x:v>Stage 3 / Year 9</x:v>
      </x:c>
      <x:c r="E16" s="89" t="str">
        <x:v>https://stevencowell.github.io/Yr-9-Clock/</x:v>
      </x:c>
      <x:c r="F16" s="89" t="str">
        <x:v>Modules, folio, plan and assessment criteria</x:v>
      </x:c>
      <x:c r="G16" s="89" t="str">
        <x:v>Reviewed 2026-08-01</x:v>
      </x:c>
      <x:c r="H16" s="129" t="str">
        <x:v>12 live HTML pages; linked plan and assessment criteria.</x:v>
      </x:c>
    </x:row>
    <x:row r="17" ht="64" customHeight="1">
      <x:c r="A17" s="128" t="str">
        <x:v>S13</x:v>
      </x:c>
      <x:c r="B17" s="89" t="str">
        <x:v>Tool Carry-all guided course</x:v>
      </x:c>
      <x:c r="C17" s="89" t="str">
        <x:v>Live project website</x:v>
      </x:c>
      <x:c r="D17" s="89" t="str">
        <x:v>Stage 4 / Year 9</x:v>
      </x:c>
      <x:c r="E17" s="89" t="str">
        <x:v>https://stevencowell.github.io/Yr-9-Carry-All/</x:v>
      </x:c>
      <x:c r="F17" s="89" t="str">
        <x:v>Modules, folio and working drawing</x:v>
      </x:c>
      <x:c r="G17" s="89" t="str">
        <x:v>Reviewed 2026-08-01</x:v>
      </x:c>
      <x:c r="H17" s="129" t="str">
        <x:v>12 live HTML pages; linked working drawing.</x:v>
      </x:c>
    </x:row>
    <x:row r="18" ht="64" customHeight="1">
      <x:c r="A18" s="128" t="str">
        <x:v>S14</x:v>
      </x:c>
      <x:c r="B18" s="89" t="str">
        <x:v>Mirror project course</x:v>
      </x:c>
      <x:c r="C18" s="89" t="str">
        <x:v>Live project website</x:v>
      </x:c>
      <x:c r="D18" s="89" t="str">
        <x:v>Stage 5 / Year 10</x:v>
      </x:c>
      <x:c r="E18" s="89" t="str">
        <x:v>https://stevencowell.github.io/year-10-timber-mirror-project/</x:v>
      </x:c>
      <x:c r="F18" s="89" t="str">
        <x:v>Theory, quizzes, portfolio, folio, assessment and plan</x:v>
      </x:c>
      <x:c r="G18" s="89" t="str">
        <x:v>Reviewed; routes repaired</x:v>
      </x:c>
      <x:c r="H18" s="129" t="str">
        <x:v>Core evidence pages live; 20 week links repaired to existing support pages on 2026-08-01.</x:v>
      </x:c>
    </x:row>
    <x:row r="19" ht="64" customHeight="1">
      <x:c r="A19" s="128" t="str">
        <x:v>S15</x:v>
      </x:c>
      <x:c r="B19" s="89" t="str">
        <x:v>Bedside Table guided course</x:v>
      </x:c>
      <x:c r="C19" s="89" t="str">
        <x:v>Live project website</x:v>
      </x:c>
      <x:c r="D19" s="89" t="str">
        <x:v>Stage 6 / Year 10</x:v>
      </x:c>
      <x:c r="E19" s="89" t="str">
        <x:v>https://stevencowell.github.io/bedside-table-guided-course/</x:v>
      </x:c>
      <x:c r="F19" s="89" t="str">
        <x:v>Modules, folio, plan and SDS support</x:v>
      </x:c>
      <x:c r="G19" s="89" t="str">
        <x:v>Reviewed 2026-08-01</x:v>
      </x:c>
      <x:c r="H19" s="129" t="str">
        <x:v>12 live HTML pages; linked plan and example SDS.</x:v>
      </x:c>
    </x:row>
    <x:row r="20" ht="64" customHeight="1">
      <x:c r="A20" s="132" t="str">
        <x:v>S16</x:v>
      </x:c>
      <x:c r="B20" s="133" t="str">
        <x:v>Folding Chair guided course</x:v>
      </x:c>
      <x:c r="C20" s="133" t="str">
        <x:v>Live project website</x:v>
      </x:c>
      <x:c r="D20" s="133" t="str">
        <x:v>Stage 7 / developing</x:v>
      </x:c>
      <x:c r="E20" s="133" t="str">
        <x:v>https://stevencowell.github.io/folding-chair-guided-course/</x:v>
      </x:c>
      <x:c r="F20" s="133" t="str">
        <x:v>Modules, folio, plan and SDS support</x:v>
      </x:c>
      <x:c r="G20" s="133" t="str">
        <x:v>Reviewed 2026-08-01</x:v>
      </x:c>
      <x:c r="H20" s="134" t="str">
        <x:v>12 live HTML pages; provisional outside supplied program.</x:v>
      </x:c>
    </x:row>
    <x:row r="21" ht="72" customHeight="1">
      <x:c r="A21" s="491" t="str">
        <x:v>S17</x:v>
      </x:c>
      <x:c r="B21" s="488" t="str">
        <x:v>Current-program mapping method</x:v>
      </x:c>
      <x:c r="C21" s="488" t="str">
        <x:v>Audit method / limitation</x:v>
      </x:c>
      <x:c r="D21" s="488" t="str">
        <x:v>Current program companion</x:v>
      </x:c>
      <x:c r="E21" s="488" t="str">
        <x:v>Current Syllabus Summary and Current Program Content Map sheets</x:v>
      </x:c>
      <x:c r="F21" s="488" t="str">
        <x:v>Separates two-year outcome status, I/P/E progression, exact program content, programmed learning, named evidence and program-boundary decisions</x:v>
      </x:c>
      <x:c r="G21" s="488" t="str">
        <x:v>Quality pass 2026-08-02</x:v>
      </x:c>
      <x:c r="H21" s="489" t="str">
        <x:v>The supplied program maps outcomes at unit level, not per content statement. No dot-point-to-IND crosswalk, departmental approval, individual achievement or exact webpage match is inferred.</x:v>
      </x:c>
    </x:row>
    <x:row r="22" ht="88" customHeight="1">
      <x:c r="A22" s="519" t="str">
        <x:v>S18</x:v>
      </x:c>
      <x:c r="B22" s="516" t="str">
        <x:v>Local IND56 collaboration-evidence implementation</x:v>
      </x:c>
      <x:c r="C22" s="516" t="str">
        <x:v>Current guided-course source files</x:v>
      </x:c>
      <x:c r="D22" s="516" t="str">
        <x:v>Current Stage 5 outcome IND56 and two-year scaffold</x:v>
      </x:c>
      <x:c r="E22" s="516" t="str">
        <x:v>Breadboard: work/remediation-repos/bread-board-guided-course/modules/module-05-data.js and module-05.html; Bedside Table: work/remediation-repos/bedside-table-guided-course/weeks19-20/lesson-data.js</x:v>
      </x:c>
      <x:c r="F22" s="516" t="str">
        <x:v>Stage 1 introductory peer feedback/improvement evidence and Stage 6 peer QA, justified-decision and handover evidence</x:v>
      </x:c>
      <x:c r="G22" s="516" t="str">
        <x:v>Live verified 2026-08-02</x:v>
      </x:c>
      <x:c r="H22" s="517" t="str">
        <x:v>Published and live verified 2026-08-02. Breadboard commit ad8c514: https://stevencowell.github.io/bread-board-guided-course/modules/module-05.html. Bedside Table commit 8fac5f5: https://stevencowell.github.io/bedside-table-guided-course/weeks19-20/. Both page activities were confirmed visible after GitHub Pages update.</x:v>
      </x:c>
    </x:row>
    <x:row r="23" ht="150" customHeight="1">
      <x:c r="A23" s="542" t="str">
        <x:v>S19</x:v>
      </x:c>
      <x:c r="B23" s="543" t="str">
        <x:v>Remaining audit actions - local implementation</x:v>
      </x:c>
      <x:c r="C23" s="543" t="str">
        <x:v>Local current-repair source</x:v>
      </x:c>
      <x:c r="D23" s="543" t="str">
        <x:v>Year 9-10 Timber hub and current project repositories</x:v>
      </x:c>
      <x:c r="E23" s="543" t="str">
        <x:v>Mirror Portfolio Workbook; mirror_assessment.html; Breadboard, Mirror and Bedside Table landing pages; hub assessment/program-trace updates</x:v>
      </x:c>
      <x:c r="F23" s="543" t="str">
        <x:v>Mirror collaboration evidence; course-context clarification for IND59; verified Clock/Mirror assessment access; selected Breadboard, Carry-All and Bedside Table evidence-folio destinations; Pen trace note</x:v>
      </x:c>
      <x:c r="G23" s="543" t="str">
        <x:v>Published and live verified 2026-08-02</x:v>
      </x:c>
      <x:c r="H23" s="544" t="str">
        <x:v>Live verification: hub commit 82fe920; Breadboard 11f7690; Mirror 9668c52; Bedside Table 9395842; unchanged Carry-All folio at 31ff734. Verified routes: hub assessment section and workbook download; Breadboard, Carry-All and Bedside Table evidence folios; Clock assessment PDF; Mirror assessment guide and portfolio activity. No dates, marks, Classroom links or Pen project URL were invented.</x:v>
      </x:c>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1" hidden="0" customWidth="1"/>
    <x:col min="3" max="3" width="43" hidden="0" customWidth="1"/>
    <x:col min="4" max="4" width="47" hidden="0" customWidth="1"/>
    <x:col min="5" max="5" width="42" hidden="0" customWidth="1"/>
    <x:col min="6" max="6" width="49" hidden="0" customWidth="1"/>
    <x:col min="7" max="7" width="24" hidden="0" customWidth="1"/>
  </x:cols>
  <x:sheetData>
    <x:row r="1" ht="30" customHeight="1">
      <x:c r="A1" s="346" t="str">
        <x:v>Timber Course Gap Register</x:v>
      </x:c>
      <x:c r="B1" s="346"/>
      <x:c r="C1" s="346"/>
      <x:c r="D1" s="346"/>
      <x:c r="E1" s="346"/>
      <x:c r="F1" s="346"/>
      <x:c r="G1" s="346"/>
    </x:row>
    <x:row r="2" ht="30" customHeight="1">
      <x:c r="A2" s="346"/>
      <x:c r="B2" s="346"/>
      <x:c r="C2" s="346"/>
      <x:c r="D2" s="346"/>
      <x:c r="E2" s="346"/>
      <x:c r="F2" s="346"/>
      <x:c r="G2" s="346"/>
    </x:row>
    <x:row r="3" ht="36" customHeight="1">
      <x:c r="A3" s="225" t="str">
        <x:v>Current-syllabus work plan only. Shared issues appear once here and are cross-referenced from project cells. Future/new-syllabus mapping issues are excluded from this register; local additions and formal-program scope limits are labelled explicitly.</x:v>
      </x:c>
      <x:c r="B3" s="225"/>
      <x:c r="C3" s="225"/>
      <x:c r="D3" s="225"/>
      <x:c r="E3" s="225"/>
      <x:c r="F3" s="225"/>
      <x:c r="G3" s="225"/>
    </x:row>
    <x:row r="5">
      <x:c r="A5" s="347" t="str">
        <x:v>Priority</x:v>
      </x:c>
      <x:c r="B5" s="347" t="str">
        <x:v>Open item count</x:v>
      </x:c>
      <x:c r="D5" s="227" t="str">
        <x:v>Register scope</x:v>
      </x:c>
      <x:c r="E5" s="227"/>
      <x:c r="F5" s="227"/>
      <x:c r="G5" s="227"/>
    </x:row>
    <x:row r="6">
      <x:c r="A6" s="361" t="str">
        <x:v>Critical</x:v>
      </x:c>
      <x:c r="B6" s="362" t="n">
        <x:f>COUNTIF($A$12:$A$16,A6)</x:f>
        <x:v>0</x:v>
      </x:c>
      <x:c r="D6" s="367" t="str">
        <x:v>Current-program result: all ten outcomes are Covered across the two-year pathway and there are no open current-outcome gaps. CUR-01, CUR-02 and CUR-03 are retained below as closed, traceable repair records. SCOPE-01 and SCOPE-02 remain open program-boundary decisions, not current outcome failures. Priority ratings were not assigned by the audit and remain editable for Steve.</x:v>
      </x:c>
      <x:c r="E6" s="367"/>
      <x:c r="F6" s="367"/>
      <x:c r="G6" s="367"/>
    </x:row>
    <x:row r="7">
      <x:c r="A7" s="363" t="str">
        <x:v>High</x:v>
      </x:c>
      <x:c r="B7" s="364" t="n">
        <x:f>COUNTIF($A$12:$A$16,A7)</x:f>
        <x:v>0</x:v>
      </x:c>
      <x:c r="D7" s="367"/>
      <x:c r="E7" s="367"/>
      <x:c r="F7" s="367"/>
      <x:c r="G7" s="367"/>
    </x:row>
    <x:row r="8">
      <x:c r="A8" s="363" t="str">
        <x:v>Medium</x:v>
      </x:c>
      <x:c r="B8" s="364" t="n">
        <x:f>COUNTIF($A$12:$A$16,A8)</x:f>
        <x:v>0</x:v>
      </x:c>
      <x:c r="D8" s="367"/>
      <x:c r="E8" s="367"/>
      <x:c r="F8" s="367"/>
      <x:c r="G8" s="367"/>
    </x:row>
    <x:row r="9">
      <x:c r="A9" s="365" t="str">
        <x:v>Low</x:v>
      </x:c>
      <x:c r="B9" s="366" t="n">
        <x:f>COUNTIF($A$12:$A$16,A9)</x:f>
        <x:v>0</x:v>
      </x:c>
      <x:c r="D9" s="367"/>
      <x:c r="E9" s="367"/>
      <x:c r="F9" s="367"/>
      <x:c r="G9" s="367"/>
    </x:row>
    <x:row r="11" ht="34" customHeight="1">
      <x:c r="A11" s="370" t="str">
        <x:v>Priority</x:v>
      </x:c>
      <x:c r="B11" s="370" t="str">
        <x:v>Project(s)</x:v>
      </x:c>
      <x:c r="C11" s="370" t="str">
        <x:v>Gap or risk</x:v>
      </x:c>
      <x:c r="D11" s="370" t="str">
        <x:v>Why it matters for syllabus/evidence/scaffold</x:v>
      </x:c>
      <x:c r="E11" s="370" t="str">
        <x:v>Evidence/source</x:v>
      </x:c>
      <x:c r="F11" s="370" t="str">
        <x:v>Recommended next action</x:v>
      </x:c>
      <x:c r="G11" s="370" t="str">
        <x:v>Status</x:v>
      </x:c>
    </x:row>
    <x:row r="12" ht="132" customHeight="1">
      <x:c r="A12" s="207" t="str"/>
      <x:c r="B12" s="213" t="str">
        <x:v>Mirror</x:v>
      </x:c>
      <x:c r="C12" s="193" t="str">
        <x:v>CUR-01 - closed action: Mirror collaboration evidence is published and live verified.</x:v>
      </x:c>
      <x:c r="D12" s="193" t="str">
        <x:v>The record captures roles, an observable criterion, feedback, a justified technical decision, evidence of feedback used and workshop handover. It adds a visible Year 10 evidence point without claiming individual achievement.</x:v>
      </x:c>
      <x:c r="E12" s="193" t="str">
        <x:v>https://stevencowell.github.io/year-10-timber-mirror-project/mirror_portfolio_workbook.html; mirror_assessment.html; commit 9668c52; Matrix row 12; Project Evidence row 9; S19; verified 2026-08-02.</x:v>
      </x:c>
      <x:c r="F12" s="193" t="str">
        <x:v>Use the activity during delivery and sample student portfolio/PDF evidence through normal faculty assessment processes.</x:v>
      </x:c>
      <x:c r="G12" s="550" t="str">
        <x:v>Closed - verified</x:v>
      </x:c>
    </x:row>
    <x:row r="13" ht="132" customHeight="1">
      <x:c r="A13" s="208" t="str"/>
      <x:c r="B13" s="214" t="str">
        <x:v>Breadboard; Clock; Tool Carry-all; Mirror; Bedside Table</x:v>
      </x:c>
      <x:c r="C13" s="196" t="str">
        <x:v>CUR-02 - closed action: IND59 evidence is explicitly sequenced and broad outcome-list claims are clarified.</x:v>
      </x:c>
      <x:c r="D13" s="196" t="str">
        <x:v>Clock remains the formal current-program E point; Carry-All introduces the comparison; Breadboard, Mirror and Bedside Table now identify their outcome lists as course context rather than separate assessment claims.</x:v>
      </x:c>
      <x:c r="E13" s="196" t="str">
        <x:v>Current Syllabus Summary IND59; Matrix row 15; live landing pages; Breadboard 11f7690, Mirror 9668c52, Bedside Table 9395842; S19; verified 2026-08-02.</x:v>
      </x:c>
      <x:c r="F13" s="196" t="str">
        <x:v>Retain Clock as the explicit IND59 evidence point unless the formal program is revised. No duplicated generic technology activity is required.</x:v>
      </x:c>
      <x:c r="G13" s="551" t="str">
        <x:v>Closed - verified</x:v>
      </x:c>
    </x:row>
    <x:row r="14" ht="132" customHeight="1">
      <x:c r="A14" s="208" t="str"/>
      <x:c r="B14" s="214" t="str">
        <x:v>Breadboard; Tool Carry-all; Bedside Table</x:v>
      </x:c>
      <x:c r="C14" s="196" t="str">
        <x:v>CUR-03 - closed action: the hub now links each project's strongest verified assessment-evidence folio.</x:v>
      </x:c>
      <x:c r="D14" s="196" t="str">
        <x:v>These are editable student evidence folios, not formal task notifications or marking rubrics. The distinction keeps assessment access useful without inventing school-controlled details.</x:v>
      </x:c>
      <x:c r="E14" s="196" t="str">
        <x:v>Breadboard: https://stevencowell.github.io/bread-board-guided-course/breadboard-folio.html; Carry-All: https://stevencowell.github.io/Yr-9-Carry-All/carry-all-folio.html; Bedside Table: https://stevencowell.github.io/bedside-table-guided-course/bedside-table-folio.html; hub commit 82fe920; verified 2026-08-02.</x:v>
      </x:c>
      <x:c r="F14" s="196" t="str">
        <x:v>Keep dates, marks, task notices and Classroom destinations teacher-controlled unless verified faculty sources are later supplied.</x:v>
      </x:c>
      <x:c r="G14" s="551" t="str">
        <x:v>Closed - verified</x:v>
      </x:c>
    </x:row>
    <x:row r="15" ht="94" customHeight="1">
      <x:c r="A15" s="208" t="str"/>
      <x:c r="B15" s="214" t="str">
        <x:v>Pen</x:v>
      </x:c>
      <x:c r="C15" s="196" t="str">
        <x:v>SCOPE-01 - Pen is now visibly traced on the local hub and audit, but its formal placement, duration and two lathe-specific content points still need a course decision and evidence location.</x:v>
      </x:c>
      <x:c r="D15" s="196" t="str">
        <x:v>The current program names Pen, while the agreed hub pathway does not include it. The local audit makes the boundary visible without claiming that 77/77 content points are represented.</x:v>
      </x:c>
      <x:c r="E15" s="196" t="str">
        <x:v>Current Program Content Map CP038 and CP039; current program tables 21-24; local hub program-trace note.</x:v>
      </x:c>
      <x:c r="F15" s="196" t="str">
        <x:v>Steve to confirm whether Pen is retained, omitted or replaced, and which duration governs. Then map the two content points or formally record the replacement.</x:v>
      </x:c>
      <x:c r="G15" s="535" t="str">
        <x:v>Open - course decision needed</x:v>
      </x:c>
    </x:row>
    <x:row r="16" ht="94" customHeight="1">
      <x:c r="A16" s="208" t="str"/>
      <x:c r="B16" s="214" t="str">
        <x:v>Small Box; Folding Chair</x:v>
      </x:c>
      <x:c r="C16" s="196" t="str">
        <x:v>SCOPE-02 - local additions outside the supplied current formal program.</x:v>
      </x:c>
      <x:c r="D16" s="196" t="str">
        <x:v>Their evidence is useful to the pathway but must not be presented as proof that the supplied current program formally names them. Small Box also has no linked plan and retains local design/transfer/impact improvements.</x:v>
      </x:c>
      <x:c r="E16" s="196" t="str">
        <x:v>Overview project status; Project Evidence rows 6 and 11; current program project sequence; Matrix local-addition headers.</x:v>
      </x:c>
      <x:c r="F16" s="196" t="str">
        <x:v>Keep both projects clearly labelled as local additions. Treat Small Box plan/evidence improvements as local work, and keep Folding Chair labelled developing until Steve changes its status.</x:v>
      </x:c>
      <x:c r="G16" s="535" t="str">
        <x:v>Open - scope retained</x:v>
      </x:c>
    </x:row>
    <x:row r="17" ht="84" customHeight="1">
      <x:c r="A17"/>
      <x:c r="B17"/>
      <x:c r="C17"/>
      <x:c r="D17"/>
      <x:c r="E17"/>
      <x:c r="F17"/>
      <x:c r="G17"/>
    </x:row>
    <x:row r="18" ht="84" customHeight="1">
      <x:c r="A18"/>
      <x:c r="B18"/>
      <x:c r="C18"/>
      <x:c r="D18"/>
      <x:c r="E18"/>
      <x:c r="F18"/>
      <x:c r="G18"/>
    </x:row>
    <x:row r="19" ht="84" customHeight="1">
      <x:c r="A19"/>
      <x:c r="B19"/>
      <x:c r="C19"/>
      <x:c r="D19"/>
      <x:c r="E19"/>
      <x:c r="F19"/>
      <x:c r="G19"/>
    </x:row>
    <x:row r="20" ht="84" customHeight="1">
      <x:c r="A20"/>
      <x:c r="B20"/>
      <x:c r="C20"/>
      <x:c r="D20"/>
      <x:c r="E20"/>
      <x:c r="F20"/>
      <x:c r="G20"/>
    </x:row>
    <x:row r="21" ht="84" customHeight="1">
      <x:c r="A21"/>
      <x:c r="B21"/>
      <x:c r="C21"/>
      <x:c r="D21"/>
      <x:c r="E21"/>
      <x:c r="F21"/>
      <x:c r="G21"/>
    </x:row>
    <x:row r="22" ht="84" customHeight="1">
      <x:c r="A22"/>
      <x:c r="B22"/>
      <x:c r="C22"/>
      <x:c r="D22"/>
      <x:c r="E22"/>
      <x:c r="F22"/>
      <x:c r="G22"/>
    </x:row>
  </x:sheetData>
  <x:mergeCells>
    <x:mergeCell ref="A1:G2"/>
    <x:mergeCell ref="A3:G3"/>
    <x:mergeCell ref="D5:G5"/>
    <x:mergeCell ref="D6:G9"/>
  </x:mergeCells>
  <x:dataValidations count="2">
    <x:dataValidation type="list" sqref="A12:A16">
      <x:formula1>"Critical,High,Medium,Low"</x:formula1>
    </x:dataValidation>
    <x:dataValidation type="list" sqref="G12:G16">
      <x:formula1>"Open - priority to be set,Open - source needed,Open - course decision needed,Open - scope retained,In progress,Resolved - re-audit required,Closed - verified"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52" hidden="0" customWidth="1"/>
    <x:col min="4" max="4" width="55" hidden="0" customWidth="1"/>
    <x:col min="5" max="5" width="50" hidden="0" customWidth="1"/>
    <x:col min="6" max="6" width="50" hidden="0" customWidth="1"/>
  </x:cols>
  <x:sheetData>
    <x:row r="1" ht="30" customHeight="1">
      <x:c r="A1" s="346" t="str">
        <x:v>Current Stage 5 Outcome Coverage</x:v>
      </x:c>
      <x:c r="B1" s="346"/>
      <x:c r="C1" s="346"/>
      <x:c r="D1" s="346"/>
      <x:c r="E1" s="346"/>
      <x:c r="F1" s="346"/>
    </x:row>
    <x:row r="2" ht="30" customHeight="1">
      <x:c r="A2" s="346"/>
      <x:c r="B2" s="346"/>
      <x:c r="C2" s="346"/>
      <x:c r="D2" s="346"/>
      <x:c r="E2" s="346"/>
      <x:c r="F2" s="346"/>
    </x:row>
    <x:row r="3" ht="30" customHeight="1">
      <x:c r="A3" s="225" t="str">
        <x:v>Authority: stage_5_timber_2021-06-16.docx. Status is assessed across the full two-year sequence, not by forcing every outcome into every project. Covered means explicit E evidence exists in a represented formal project; Partially covered means only I/P evidence is present; Has gaps means required formal evidence remains unresolved. This program companion does not claim departmental approval, individual achievement or exhaustive coverage of an official syllabus beyond the supplied program.</x:v>
      </x:c>
      <x:c r="B3" s="225"/>
      <x:c r="C3" s="225"/>
      <x:c r="D3" s="225"/>
      <x:c r="E3" s="225"/>
      <x:c r="F3" s="225"/>
    </x:row>
    <x:row r="4" ht="30" customHeight="1">
      <x:c r="A4" s="225"/>
      <x:c r="B4" s="225"/>
      <x:c r="C4" s="225"/>
      <x:c r="D4" s="225"/>
      <x:c r="E4" s="225"/>
      <x:c r="F4" s="225"/>
    </x:row>
    <x:row r="6">
      <x:c r="A6" s="347" t="str">
        <x:v>Pathway status</x:v>
      </x:c>
      <x:c r="B6" s="347" t="str">
        <x:v>Outcome count</x:v>
      </x:c>
      <x:c r="D6" s="227" t="str">
        <x:v>Formal-program and hub scope</x:v>
      </x:c>
      <x:c r="E6" s="227"/>
      <x:c r="F6" s="227"/>
    </x:row>
    <x:row r="7">
      <x:c r="A7" s="404" t="str">
        <x:v>Covered</x:v>
      </x:c>
      <x:c r="B7" s="405" t="n">
        <x:f>COUNTIF($B$11:$B$20,A7)</x:f>
        <x:v>10</x:v>
      </x:c>
      <x:c r="D7" s="412" t="str">
        <x:v>Supplied current-program sequence: Breadboard → Clock → Pen (additional turning unit after Clock or Carry-all) → Tool Carry-all → Mirror → Bedside Table. The Pen duration is inconsistent in the source (1 week, 2-week sequence and 1–2 week overview). Audited hub sequence: Breadboard → Small Box (local) → Clock → Tool Carry-all → Mirror → Bedside Table → Folding Chair (local developing option). Pen lacks an audited hub trace; local additions are excluded from the formal-current status calculation.</x:v>
      </x:c>
      <x:c r="E7" s="412"/>
      <x:c r="F7" s="412"/>
    </x:row>
    <x:row r="8">
      <x:c r="A8" s="406" t="str">
        <x:v>Partially covered</x:v>
      </x:c>
      <x:c r="B8" s="407" t="n">
        <x:f>COUNTIF($B$11:$B$20,A8)</x:f>
        <x:v>0</x:v>
      </x:c>
      <x:c r="D8" s="412"/>
      <x:c r="E8" s="412"/>
      <x:c r="F8" s="412"/>
    </x:row>
    <x:row r="9">
      <x:c r="A9" s="408" t="str">
        <x:v>Has gaps</x:v>
      </x:c>
      <x:c r="B9" s="409" t="n">
        <x:f>COUNTIF($B$11:$B$20,A9)</x:f>
        <x:v>0</x:v>
      </x:c>
      <x:c r="D9" s="412"/>
      <x:c r="E9" s="412"/>
      <x:c r="F9" s="412"/>
    </x:row>
    <x:row r="10" ht="36" customHeight="1">
      <x:c r="A10" s="370" t="str">
        <x:v>Outcome</x:v>
      </x:c>
      <x:c r="B10" s="370" t="str">
        <x:v>Pathway status</x:v>
      </x:c>
      <x:c r="C10" s="370" t="str">
        <x:v>Exact wording in supplied current program</x:v>
      </x:c>
      <x:c r="D10" s="370" t="str">
        <x:v>Progression across Years 9–10</x:v>
      </x:c>
      <x:c r="E10" s="370" t="str">
        <x:v>Strongest evidence / workbook references</x:v>
      </x:c>
      <x:c r="F10" s="370" t="str">
        <x:v>Gap or next assurance</x:v>
      </x:c>
    </x:row>
    <x:row r="11" ht="96" customHeight="1">
      <x:c r="A11" s="265" t="str">
        <x:v>IND51</x:v>
      </x:c>
      <x:c r="B11" s="422" t="str">
        <x:f>IF(COUNTIF('Syllabus Alignment Matrix'!E7,"E")+COUNTIF('Syllabus Alignment Matrix'!I7,"E")+COUNTIF('Syllabus Alignment Matrix'!K7,"E")+COUNTIF('Syllabus Alignment Matrix'!M7,"E")+COUNTIF('Syllabus Alignment Matrix'!O7,"E")&gt;0,"Covered",IF(COUNTIF('Syllabus Alignment Matrix'!E7,"Gap")+COUNTIF('Syllabus Alignment Matrix'!I7,"Gap")+COUNTIF('Syllabus Alignment Matrix'!K7,"Gap")+COUNTIF('Syllabus Alignment Matrix'!M7,"Gap")+COUNTIF('Syllabus Alignment Matrix'!O7,"Gap")&gt;0,"Has gaps",IF(COUNTIF('Syllabus Alignment Matrix'!E7,"I")+COUNTIF('Syllabus Alignment Matrix'!I7,"I")+COUNTIF('Syllabus Alignment Matrix'!K7,"I")+COUNTIF('Syllabus Alignment Matrix'!M7,"I")+COUNTIF('Syllabus Alignment Matrix'!O7,"I")+COUNTIF('Syllabus Alignment Matrix'!E7,"P")+COUNTIF('Syllabus Alignment Matrix'!I7,"P")+COUNTIF('Syllabus Alignment Matrix'!K7,"P")+COUNTIF('Syllabus Alignment Matrix'!M7,"P")+COUNTIF('Syllabus Alignment Matrix'!O7,"P")+COUNTIF('Syllabus Alignment Matrix'!E7,"Partial")+COUNTIF('Syllabus Alignment Matrix'!I7,"Partial")+COUNTIF('Syllabus Alignment Matrix'!K7,"Partial")+COUNTIF('Syllabus Alignment Matrix'!M7,"Partial")+COUNTIF('Syllabus Alignment Matrix'!O7,"Partial")&gt;0,"Partially covered","Has gaps")))</x:f>
        <x:v>Covered</x:v>
      </x:c>
      <x:c r="C11" s="193" t="str">
        <x:v>identifies, assesses, applies and manages the risks and WHS issues associated with the use of a range of tools, equipment, materials, processes and technologies</x:v>
      </x:c>
      <x:c r="D11" s="193" t="str">
        <x:v>Stage 1 risk response and folio safety evidence → Clock and Carry-all WMS/SWMS → Year 10 SDS, finishing and workshop controls. The evidence repeats at increasing workshop complexity.</x:v>
      </x:c>
      <x:c r="E11" s="193" t="str">
        <x:v>Matrix row 7; Breadboard Module 01; Clock Weeks 1–4; Carry-all Weeks 1–2 and 15–16; Mirror safety activities; Bedside Table Weeks 1–2 and 15–16.</x:v>
      </x:c>
      <x:c r="F11" s="194" t="str">
        <x:v>Preserve the increasing-complexity WHS I → P → E trail; no current repair identified.</x:v>
      </x:c>
    </x:row>
    <x:row r="12" ht="96" customHeight="1">
      <x:c r="A12" s="266" t="str">
        <x:v>IND52</x:v>
      </x:c>
      <x:c r="B12" s="423" t="str">
        <x:f>IF(COUNTIF('Syllabus Alignment Matrix'!E8,"E")+COUNTIF('Syllabus Alignment Matrix'!I8,"E")+COUNTIF('Syllabus Alignment Matrix'!K8,"E")+COUNTIF('Syllabus Alignment Matrix'!M8,"E")+COUNTIF('Syllabus Alignment Matrix'!O8,"E")&gt;0,"Covered",IF(COUNTIF('Syllabus Alignment Matrix'!E8,"Gap")+COUNTIF('Syllabus Alignment Matrix'!I8,"Gap")+COUNTIF('Syllabus Alignment Matrix'!K8,"Gap")+COUNTIF('Syllabus Alignment Matrix'!M8,"Gap")+COUNTIF('Syllabus Alignment Matrix'!O8,"Gap")&gt;0,"Has gaps",IF(COUNTIF('Syllabus Alignment Matrix'!E8,"I")+COUNTIF('Syllabus Alignment Matrix'!I8,"I")+COUNTIF('Syllabus Alignment Matrix'!K8,"I")+COUNTIF('Syllabus Alignment Matrix'!M8,"I")+COUNTIF('Syllabus Alignment Matrix'!O8,"I")+COUNTIF('Syllabus Alignment Matrix'!E8,"P")+COUNTIF('Syllabus Alignment Matrix'!I8,"P")+COUNTIF('Syllabus Alignment Matrix'!K8,"P")+COUNTIF('Syllabus Alignment Matrix'!M8,"P")+COUNTIF('Syllabus Alignment Matrix'!O8,"P")+COUNTIF('Syllabus Alignment Matrix'!E8,"Partial")+COUNTIF('Syllabus Alignment Matrix'!I8,"Partial")+COUNTIF('Syllabus Alignment Matrix'!K8,"Partial")+COUNTIF('Syllabus Alignment Matrix'!M8,"Partial")+COUNTIF('Syllabus Alignment Matrix'!O8,"Partial")&gt;0,"Partially covered","Has gaps")))</x:f>
        <x:v>Covered</x:v>
      </x:c>
      <x:c r="C12" s="196" t="str">
        <x:v>applies design principles in the modification, development and production of projects</x:v>
      </x:c>
      <x:c r="D12" s="196" t="str">
        <x:v>Breadboard practises layout/profile decisions → Clock, Carry-all, Mirror and Bedside Table evidence design development, approved choices or variations. Later projects complete the pathway.</x:v>
      </x:c>
      <x:c r="E12" s="196" t="str">
        <x:v>Matrix row 8; Clock Weeks 15–16; Carry-all Weeks 11–12; Mirror design/portfolio activities; Bedside Table Weeks 1–2.</x:v>
      </x:c>
      <x:c r="F12" s="197" t="str">
        <x:v>Keep the later approved design decisions as the evidence point that completes Breadboard practice.</x:v>
      </x:c>
    </x:row>
    <x:row r="13" ht="96" customHeight="1">
      <x:c r="A13" s="266" t="str">
        <x:v>IND53</x:v>
      </x:c>
      <x:c r="B13" s="423" t="str">
        <x:f>IF(COUNTIF('Syllabus Alignment Matrix'!E9,"E")+COUNTIF('Syllabus Alignment Matrix'!I9,"E")+COUNTIF('Syllabus Alignment Matrix'!K9,"E")+COUNTIF('Syllabus Alignment Matrix'!M9,"E")+COUNTIF('Syllabus Alignment Matrix'!O9,"E")&gt;0,"Covered",IF(COUNTIF('Syllabus Alignment Matrix'!E9,"Gap")+COUNTIF('Syllabus Alignment Matrix'!I9,"Gap")+COUNTIF('Syllabus Alignment Matrix'!K9,"Gap")+COUNTIF('Syllabus Alignment Matrix'!M9,"Gap")+COUNTIF('Syllabus Alignment Matrix'!O9,"Gap")&gt;0,"Has gaps",IF(COUNTIF('Syllabus Alignment Matrix'!E9,"I")+COUNTIF('Syllabus Alignment Matrix'!I9,"I")+COUNTIF('Syllabus Alignment Matrix'!K9,"I")+COUNTIF('Syllabus Alignment Matrix'!M9,"I")+COUNTIF('Syllabus Alignment Matrix'!O9,"I")+COUNTIF('Syllabus Alignment Matrix'!E9,"P")+COUNTIF('Syllabus Alignment Matrix'!I9,"P")+COUNTIF('Syllabus Alignment Matrix'!K9,"P")+COUNTIF('Syllabus Alignment Matrix'!M9,"P")+COUNTIF('Syllabus Alignment Matrix'!O9,"P")+COUNTIF('Syllabus Alignment Matrix'!E9,"Partial")+COUNTIF('Syllabus Alignment Matrix'!I9,"Partial")+COUNTIF('Syllabus Alignment Matrix'!K9,"Partial")+COUNTIF('Syllabus Alignment Matrix'!M9,"Partial")+COUNTIF('Syllabus Alignment Matrix'!O9,"Partial")&gt;0,"Partially covered","Has gaps")))</x:f>
        <x:v>Covered</x:v>
      </x:c>
      <x:c r="C13" s="196" t="str">
        <x:v>identifies, selects and uses a range of hand and machine tools, equipment and processes to produce quality practical projects</x:v>
      </x:c>
      <x:c r="D13" s="196" t="str">
        <x:v>Breadboard basic marking and jointing → Clock and Carry-all multi-step production → Mirror and Bedside Table complex joinery, jigs, assembly and finishing.</x:v>
      </x:c>
      <x:c r="E13" s="196" t="str">
        <x:v>Matrix row 9; Breadboard Modules 02–04; Clock Weeks 5–14; Carry-all Weeks 5–18; Mirror process activities; Bedside Table Weeks 3–16.</x:v>
      </x:c>
      <x:c r="F13" s="197" t="str">
        <x:v>Retain the nominated production records across simple, multi-step and complex joinery stages.</x:v>
      </x:c>
    </x:row>
    <x:row r="14" ht="96" customHeight="1">
      <x:c r="A14" s="266" t="str">
        <x:v>IND54</x:v>
      </x:c>
      <x:c r="B14" s="423" t="str">
        <x:f>IF(COUNTIF('Syllabus Alignment Matrix'!E10,"E")+COUNTIF('Syllabus Alignment Matrix'!I10,"E")+COUNTIF('Syllabus Alignment Matrix'!K10,"E")+COUNTIF('Syllabus Alignment Matrix'!M10,"E")+COUNTIF('Syllabus Alignment Matrix'!O10,"E")&gt;0,"Covered",IF(COUNTIF('Syllabus Alignment Matrix'!E10,"Gap")+COUNTIF('Syllabus Alignment Matrix'!I10,"Gap")+COUNTIF('Syllabus Alignment Matrix'!K10,"Gap")+COUNTIF('Syllabus Alignment Matrix'!M10,"Gap")+COUNTIF('Syllabus Alignment Matrix'!O10,"Gap")&gt;0,"Has gaps",IF(COUNTIF('Syllabus Alignment Matrix'!E10,"I")+COUNTIF('Syllabus Alignment Matrix'!I10,"I")+COUNTIF('Syllabus Alignment Matrix'!K10,"I")+COUNTIF('Syllabus Alignment Matrix'!M10,"I")+COUNTIF('Syllabus Alignment Matrix'!O10,"I")+COUNTIF('Syllabus Alignment Matrix'!E10,"P")+COUNTIF('Syllabus Alignment Matrix'!I10,"P")+COUNTIF('Syllabus Alignment Matrix'!K10,"P")+COUNTIF('Syllabus Alignment Matrix'!M10,"P")+COUNTIF('Syllabus Alignment Matrix'!O10,"P")+COUNTIF('Syllabus Alignment Matrix'!E10,"Partial")+COUNTIF('Syllabus Alignment Matrix'!I10,"Partial")+COUNTIF('Syllabus Alignment Matrix'!K10,"Partial")+COUNTIF('Syllabus Alignment Matrix'!M10,"Partial")+COUNTIF('Syllabus Alignment Matrix'!O10,"Partial")&gt;0,"Partially covered","Has gaps")))</x:f>
        <x:v>Covered</x:v>
      </x:c>
      <x:c r="C14" s="196" t="str">
        <x:v>selects, justifies and uses a range of relevant and associated materials for specific applications</x:v>
      </x:c>
      <x:c r="D14" s="196" t="str">
        <x:v>Breadboard grain/layout selection → Clock and Carry-all timber choice and responsible use → Year 10 cutting lists, matched grain and application-specific selection.</x:v>
      </x:c>
      <x:c r="E14" s="196" t="str">
        <x:v>Matrix row 10; Breadboard Module 02; Clock Weeks 3–4 and 11–12; Carry-all Weeks 3–4; Mirror materials/cutting list; Bedside Table Weeks 3–4.</x:v>
      </x:c>
      <x:c r="F14" s="197" t="str">
        <x:v>Retain the project-specific timber selection and justification records across the sequence.</x:v>
      </x:c>
    </x:row>
    <x:row r="15" ht="96" customHeight="1">
      <x:c r="A15" s="266" t="str">
        <x:v>IND55</x:v>
      </x:c>
      <x:c r="B15" s="423" t="str">
        <x:f>IF(COUNTIF('Syllabus Alignment Matrix'!E11,"E")+COUNTIF('Syllabus Alignment Matrix'!I11,"E")+COUNTIF('Syllabus Alignment Matrix'!K11,"E")+COUNTIF('Syllabus Alignment Matrix'!M11,"E")+COUNTIF('Syllabus Alignment Matrix'!O11,"E")&gt;0,"Covered",IF(COUNTIF('Syllabus Alignment Matrix'!E11,"Gap")+COUNTIF('Syllabus Alignment Matrix'!I11,"Gap")+COUNTIF('Syllabus Alignment Matrix'!K11,"Gap")+COUNTIF('Syllabus Alignment Matrix'!M11,"Gap")+COUNTIF('Syllabus Alignment Matrix'!O11,"Gap")&gt;0,"Has gaps",IF(COUNTIF('Syllabus Alignment Matrix'!E11,"I")+COUNTIF('Syllabus Alignment Matrix'!I11,"I")+COUNTIF('Syllabus Alignment Matrix'!K11,"I")+COUNTIF('Syllabus Alignment Matrix'!M11,"I")+COUNTIF('Syllabus Alignment Matrix'!O11,"I")+COUNTIF('Syllabus Alignment Matrix'!E11,"P")+COUNTIF('Syllabus Alignment Matrix'!I11,"P")+COUNTIF('Syllabus Alignment Matrix'!K11,"P")+COUNTIF('Syllabus Alignment Matrix'!M11,"P")+COUNTIF('Syllabus Alignment Matrix'!O11,"P")+COUNTIF('Syllabus Alignment Matrix'!E11,"Partial")+COUNTIF('Syllabus Alignment Matrix'!I11,"Partial")+COUNTIF('Syllabus Alignment Matrix'!K11,"Partial")+COUNTIF('Syllabus Alignment Matrix'!M11,"Partial")+COUNTIF('Syllabus Alignment Matrix'!O11,"Partial")&gt;0,"Partially covered","Has gaps")))</x:f>
        <x:v>Covered</x:v>
      </x:c>
      <x:c r="C15" s="196" t="str">
        <x:v>selects, interprets and applies a range of suitable communication techniques in the development, planning, production and presentation of ideas and projects</x:v>
      </x:c>
      <x:c r="D15" s="196" t="str">
        <x:v>Early photo/caption folios → drawings and cutting lists → Year 10 portfolio, folio, evidence selection and criterion-based presentation.</x:v>
      </x:c>
      <x:c r="E15" s="196" t="str">
        <x:v>Matrix row 11; project folios, drawings, captions, portfolio activities and PDF/print outputs across the audited pathway.</x:v>
      </x:c>
      <x:c r="F15" s="197" t="str">
        <x:v>Retain the named folio, drawing, caption, portfolio and PDF outputs as the communication trail.</x:v>
      </x:c>
    </x:row>
    <x:row r="16" ht="148" customHeight="1">
      <x:c r="A16" s="266" t="str">
        <x:v>IND56</x:v>
      </x:c>
      <x:c r="B16" s="506" t="str">
        <x:f>IF(COUNTIF('Syllabus Alignment Matrix'!E12,"E")+COUNTIF('Syllabus Alignment Matrix'!I12,"E")+COUNTIF('Syllabus Alignment Matrix'!K12,"E")+COUNTIF('Syllabus Alignment Matrix'!M12,"E")+COUNTIF('Syllabus Alignment Matrix'!O12,"E")&gt;0,"Covered",IF(COUNTIF('Syllabus Alignment Matrix'!E12,"Gap")+COUNTIF('Syllabus Alignment Matrix'!I12,"Gap")+COUNTIF('Syllabus Alignment Matrix'!K12,"Gap")+COUNTIF('Syllabus Alignment Matrix'!M12,"Gap")+COUNTIF('Syllabus Alignment Matrix'!O12,"Gap")&gt;0,"Has gaps",IF(COUNTIF('Syllabus Alignment Matrix'!E12,"I")+COUNTIF('Syllabus Alignment Matrix'!I12,"I")+COUNTIF('Syllabus Alignment Matrix'!K12,"I")+COUNTIF('Syllabus Alignment Matrix'!M12,"I")+COUNTIF('Syllabus Alignment Matrix'!O12,"I")+COUNTIF('Syllabus Alignment Matrix'!E12,"P")+COUNTIF('Syllabus Alignment Matrix'!I12,"P")+COUNTIF('Syllabus Alignment Matrix'!K12,"P")+COUNTIF('Syllabus Alignment Matrix'!M12,"P")+COUNTIF('Syllabus Alignment Matrix'!O12,"P")+COUNTIF('Syllabus Alignment Matrix'!E12,"Partial")+COUNTIF('Syllabus Alignment Matrix'!I12,"Partial")+COUNTIF('Syllabus Alignment Matrix'!K12,"Partial")+COUNTIF('Syllabus Alignment Matrix'!M12,"Partial")+COUNTIF('Syllabus Alignment Matrix'!O12,"Partial")&gt;0,"Partially covered","Has gaps")))</x:f>
        <x:v>Covered</x:v>
      </x:c>
      <x:c r="C16" s="196" t="str">
        <x:v>identifies and participates in collaborative work practices in the learning environment</x:v>
      </x:c>
      <x:c r="D16" s="196" t="str">
        <x:v>Stage 1 Breadboard introduces structured peer feedback and one recorded improvement. Stage 5 Mirror evidences a criterion-based peer quality check, a justified technical decision and workshop handover. Stage 6 Bedside Table deepens this through peer QA, before/after evidence and named handover roles. The evidence opportunity progresses from introduced to practised and evidenced across Years 9-10.</x:v>
      </x:c>
      <x:c r="E16" s="196" t="str">
        <x:v>Matrix row 12; Breadboard Module 05; Mirror Portfolio Workbook Peer Quality Check and Workshop Handover; Bedside Table Weeks 19-20; Project Evidence rows 5, 9 and 10; Source Register S18-S19. All three live records verified 2026-08-02.</x:v>
      </x:c>
      <x:c r="F16" s="197" t="str">
        <x:v>Pathway and Mirror project evidence are live and verified. Continue sampling actual student folio/PDF evidence during delivery; this audit does not assert individual achievement.</x:v>
      </x:c>
    </x:row>
    <x:row r="17" ht="96" customHeight="1">
      <x:c r="A17" s="266" t="str">
        <x:v>IND57</x:v>
      </x:c>
      <x:c r="B17" s="423" t="str">
        <x:f>IF(COUNTIF('Syllabus Alignment Matrix'!E13,"E")+COUNTIF('Syllabus Alignment Matrix'!I13,"E")+COUNTIF('Syllabus Alignment Matrix'!K13,"E")+COUNTIF('Syllabus Alignment Matrix'!M13,"E")+COUNTIF('Syllabus Alignment Matrix'!O13,"E")&gt;0,"Covered",IF(COUNTIF('Syllabus Alignment Matrix'!E13,"Gap")+COUNTIF('Syllabus Alignment Matrix'!I13,"Gap")+COUNTIF('Syllabus Alignment Matrix'!K13,"Gap")+COUNTIF('Syllabus Alignment Matrix'!M13,"Gap")+COUNTIF('Syllabus Alignment Matrix'!O13,"Gap")&gt;0,"Has gaps",IF(COUNTIF('Syllabus Alignment Matrix'!E13,"I")+COUNTIF('Syllabus Alignment Matrix'!I13,"I")+COUNTIF('Syllabus Alignment Matrix'!K13,"I")+COUNTIF('Syllabus Alignment Matrix'!M13,"I")+COUNTIF('Syllabus Alignment Matrix'!O13,"I")+COUNTIF('Syllabus Alignment Matrix'!E13,"P")+COUNTIF('Syllabus Alignment Matrix'!I13,"P")+COUNTIF('Syllabus Alignment Matrix'!K13,"P")+COUNTIF('Syllabus Alignment Matrix'!M13,"P")+COUNTIF('Syllabus Alignment Matrix'!O13,"P")+COUNTIF('Syllabus Alignment Matrix'!E13,"Partial")+COUNTIF('Syllabus Alignment Matrix'!I13,"Partial")+COUNTIF('Syllabus Alignment Matrix'!K13,"Partial")+COUNTIF('Syllabus Alignment Matrix'!M13,"Partial")+COUNTIF('Syllabus Alignment Matrix'!O13,"Partial")&gt;0,"Partially covered","Has gaps")))</x:f>
        <x:v>Covered</x:v>
      </x:c>
      <x:c r="C17" s="196" t="str">
        <x:v>applies and transfers skills, processes and materials to a variety of contexts and projects</x:v>
      </x:c>
      <x:c r="D17" s="196" t="str">
        <x:v>Breadboard transfer remains implicit → Clock, Carry-all and Bedside Table require explicit future-use or problem-solving transfer evidence; Mirror remains practised/developed.</x:v>
      </x:c>
      <x:c r="E17" s="196" t="str">
        <x:v>Matrix row 13; Clock and Bedside Table Weeks 19–20; Carry-all Weeks 5–6 and 19–20; Breadboard/Mirror supporting practice.</x:v>
      </x:c>
      <x:c r="F17" s="197" t="str">
        <x:v>Retain the later explicit transfer prompts that complete the earlier implicit practice.</x:v>
      </x:c>
    </x:row>
    <x:row r="18" ht="96" customHeight="1">
      <x:c r="A18" s="266" t="str">
        <x:v>IND58</x:v>
      </x:c>
      <x:c r="B18" s="423" t="str">
        <x:f>IF(COUNTIF('Syllabus Alignment Matrix'!E14,"E")+COUNTIF('Syllabus Alignment Matrix'!I14,"E")+COUNTIF('Syllabus Alignment Matrix'!K14,"E")+COUNTIF('Syllabus Alignment Matrix'!M14,"E")+COUNTIF('Syllabus Alignment Matrix'!O14,"E")&gt;0,"Covered",IF(COUNTIF('Syllabus Alignment Matrix'!E14,"Gap")+COUNTIF('Syllabus Alignment Matrix'!I14,"Gap")+COUNTIF('Syllabus Alignment Matrix'!K14,"Gap")+COUNTIF('Syllabus Alignment Matrix'!M14,"Gap")+COUNTIF('Syllabus Alignment Matrix'!O14,"Gap")&gt;0,"Has gaps",IF(COUNTIF('Syllabus Alignment Matrix'!E14,"I")+COUNTIF('Syllabus Alignment Matrix'!I14,"I")+COUNTIF('Syllabus Alignment Matrix'!K14,"I")+COUNTIF('Syllabus Alignment Matrix'!M14,"I")+COUNTIF('Syllabus Alignment Matrix'!O14,"I")+COUNTIF('Syllabus Alignment Matrix'!E14,"P")+COUNTIF('Syllabus Alignment Matrix'!I14,"P")+COUNTIF('Syllabus Alignment Matrix'!K14,"P")+COUNTIF('Syllabus Alignment Matrix'!M14,"P")+COUNTIF('Syllabus Alignment Matrix'!O14,"P")+COUNTIF('Syllabus Alignment Matrix'!E14,"Partial")+COUNTIF('Syllabus Alignment Matrix'!I14,"Partial")+COUNTIF('Syllabus Alignment Matrix'!K14,"Partial")+COUNTIF('Syllabus Alignment Matrix'!M14,"Partial")+COUNTIF('Syllabus Alignment Matrix'!O14,"Partial")&gt;0,"Partially covered","Has gaps")))</x:f>
        <x:v>Covered</x:v>
      </x:c>
      <x:c r="C18" s="196" t="str">
        <x:v>evaluates products in terms of functional, economic, aesthetic and environmental qualities and quality of construction</x:v>
      </x:c>
      <x:c r="D18" s="196" t="str">
        <x:v>Early PMI/folio evaluation → Carry-all problem-correction evidence → Year 10 criterion-based product evaluation and final reflection.</x:v>
      </x:c>
      <x:c r="E18" s="196" t="str">
        <x:v>Matrix row 14; folio/PMI evaluation at Breadboard and Clock; problem correction at Carry-all; criterion-based Year 10 evaluation.</x:v>
      </x:c>
      <x:c r="F18" s="197" t="str">
        <x:v>Retain the criterion-linked Year 10 evaluation and reflection evidence.</x:v>
      </x:c>
    </x:row>
    <x:row r="19" ht="126" customHeight="1">
      <x:c r="A19" s="266" t="str">
        <x:v>IND59</x:v>
      </x:c>
      <x:c r="B19" s="423" t="str">
        <x:f>IF(COUNTIF('Syllabus Alignment Matrix'!E15,"E")+COUNTIF('Syllabus Alignment Matrix'!I15,"E")+COUNTIF('Syllabus Alignment Matrix'!K15,"E")+COUNTIF('Syllabus Alignment Matrix'!M15,"E")+COUNTIF('Syllabus Alignment Matrix'!O15,"E")&gt;0,"Covered",IF(COUNTIF('Syllabus Alignment Matrix'!E15,"Gap")+COUNTIF('Syllabus Alignment Matrix'!I15,"Gap")+COUNTIF('Syllabus Alignment Matrix'!K15,"Gap")+COUNTIF('Syllabus Alignment Matrix'!M15,"Gap")+COUNTIF('Syllabus Alignment Matrix'!O15,"Gap")&gt;0,"Has gaps",IF(COUNTIF('Syllabus Alignment Matrix'!E15,"I")+COUNTIF('Syllabus Alignment Matrix'!I15,"I")+COUNTIF('Syllabus Alignment Matrix'!K15,"I")+COUNTIF('Syllabus Alignment Matrix'!M15,"I")+COUNTIF('Syllabus Alignment Matrix'!O15,"I")+COUNTIF('Syllabus Alignment Matrix'!E15,"P")+COUNTIF('Syllabus Alignment Matrix'!I15,"P")+COUNTIF('Syllabus Alignment Matrix'!K15,"P")+COUNTIF('Syllabus Alignment Matrix'!M15,"P")+COUNTIF('Syllabus Alignment Matrix'!O15,"P")+COUNTIF('Syllabus Alignment Matrix'!E15,"Partial")+COUNTIF('Syllabus Alignment Matrix'!I15,"Partial")+COUNTIF('Syllabus Alignment Matrix'!K15,"Partial")+COUNTIF('Syllabus Alignment Matrix'!M15,"Partial")+COUNTIF('Syllabus Alignment Matrix'!O15,"Partial")&gt;0,"Partially covered","Has gaps")))</x:f>
        <x:v>Covered</x:v>
      </x:c>
      <x:c r="C19" s="196" t="str">
        <x:v>describes, analyses and uses a range of current, new and emerging technologies and their various applications</x:v>
      </x:c>
      <x:c r="D19" s="196" t="str">
        <x:v>Clock Weeks 15-16 is the explicit formal-current evidence point. Carry-All provides an introductory comparison. Breadboard, Mirror and Bedside Table display the outcome list as course context and do not claim separate project-level IND59 assessment.</x:v>
      </x:c>
      <x:c r="E19" s="196" t="str">
        <x:v>Matrix row 15; Clock Weeks 15-16; Carry-All Weeks 3-4; live Breadboard, Mirror and Bedside Table course-context wording; Source Register S19; verified 2026-08-02.</x:v>
      </x:c>
      <x:c r="F19" s="197" t="str">
        <x:v>Pathway coverage is retained through Clock. The course-context clarification is live; no duplicated generic technology activity is required.</x:v>
      </x:c>
    </x:row>
    <x:row r="20" ht="96" customHeight="1">
      <x:c r="A20" s="267" t="str">
        <x:v>IND510</x:v>
      </x:c>
      <x:c r="B20" s="424" t="str">
        <x:f>IF(COUNTIF('Syllabus Alignment Matrix'!E16,"E")+COUNTIF('Syllabus Alignment Matrix'!I16,"E")+COUNTIF('Syllabus Alignment Matrix'!K16,"E")+COUNTIF('Syllabus Alignment Matrix'!M16,"E")+COUNTIF('Syllabus Alignment Matrix'!O16,"E")&gt;0,"Covered",IF(COUNTIF('Syllabus Alignment Matrix'!E16,"Gap")+COUNTIF('Syllabus Alignment Matrix'!I16,"Gap")+COUNTIF('Syllabus Alignment Matrix'!K16,"Gap")+COUNTIF('Syllabus Alignment Matrix'!M16,"Gap")+COUNTIF('Syllabus Alignment Matrix'!O16,"Gap")&gt;0,"Has gaps",IF(COUNTIF('Syllabus Alignment Matrix'!E16,"I")+COUNTIF('Syllabus Alignment Matrix'!I16,"I")+COUNTIF('Syllabus Alignment Matrix'!K16,"I")+COUNTIF('Syllabus Alignment Matrix'!M16,"I")+COUNTIF('Syllabus Alignment Matrix'!O16,"I")+COUNTIF('Syllabus Alignment Matrix'!E16,"P")+COUNTIF('Syllabus Alignment Matrix'!I16,"P")+COUNTIF('Syllabus Alignment Matrix'!K16,"P")+COUNTIF('Syllabus Alignment Matrix'!M16,"P")+COUNTIF('Syllabus Alignment Matrix'!O16,"P")+COUNTIF('Syllabus Alignment Matrix'!E16,"Partial")+COUNTIF('Syllabus Alignment Matrix'!I16,"Partial")+COUNTIF('Syllabus Alignment Matrix'!K16,"Partial")+COUNTIF('Syllabus Alignment Matrix'!M16,"Partial")+COUNTIF('Syllabus Alignment Matrix'!O16,"Partial")&gt;0,"Partially covered","Has gaps")))</x:f>
        <x:v>Covered</x:v>
      </x:c>
      <x:c r="C20" s="199" t="str">
        <x:v>describes, analyses and evaluates the impact of technology on society, the environment and cultural issues locally and globally</x:v>
      </x:c>
      <x:c r="D20" s="199" t="str">
        <x:v>Breadboard sustainability evidence → Carry-all cultural/responsible-use evidence → Bedside Table lifecycle/impact evidence. Clock and Mirror provide supporting practice.</x:v>
      </x:c>
      <x:c r="E20" s="199" t="str">
        <x:v>Matrix row 16; Breadboard Module 04; Carry-all Weeks 3–4; Bedside Table Weeks 15–16; Clock/Mirror supporting practice.</x:v>
      </x:c>
      <x:c r="F20" s="200" t="str">
        <x:v>Retain the lifecycle, sustainability and cultural-impact evidence that completes earlier supporting practice.</x:v>
      </x:c>
    </x:row>
  </x:sheetData>
  <x:mergeCells>
    <x:mergeCell ref="A1:F2"/>
    <x:mergeCell ref="A3:F4"/>
    <x:mergeCell ref="D6:F6"/>
    <x:mergeCell ref="D7:F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54" hidden="0" customWidth="1"/>
    <x:col min="3" max="3" width="46" hidden="0" customWidth="1"/>
    <x:col min="4" max="4" width="34" hidden="0" customWidth="1"/>
    <x:col min="5" max="5" width="54" hidden="0" customWidth="1"/>
    <x:col min="6" max="6" width="62" hidden="0" customWidth="1"/>
    <x:col min="7" max="7" width="31" hidden="0" customWidth="1"/>
    <x:col min="8" max="8" width="17" hidden="0" customWidth="1"/>
    <x:col min="9" max="9" width="38" hidden="0" customWidth="1"/>
    <x:col min="10" max="10" width="42" hidden="0" customWidth="1"/>
  </x:cols>
  <x:sheetData>
    <x:row r="1" ht="30" customHeight="1">
      <x:c r="A1" s="346" t="str">
        <x:v>Current Program Content Map</x:v>
      </x:c>
      <x:c r="B1" s="346"/>
      <x:c r="C1" s="346"/>
      <x:c r="D1" s="346"/>
      <x:c r="E1" s="346"/>
      <x:c r="F1" s="346"/>
      <x:c r="G1" s="346"/>
      <x:c r="H1" s="346"/>
      <x:c r="I1" s="346"/>
      <x:c r="J1" s="346"/>
    </x:row>
    <x:row r="2" ht="30" customHeight="1">
      <x:c r="A2" s="346"/>
      <x:c r="B2" s="346"/>
      <x:c r="C2" s="346"/>
      <x:c r="D2" s="346"/>
      <x:c r="E2" s="346"/>
      <x:c r="F2" s="346"/>
      <x:c r="G2" s="346"/>
      <x:c r="H2" s="346"/>
      <x:c r="I2" s="346"/>
      <x:c r="J2" s="346"/>
    </x:row>
    <x:row r="3" ht="40" customHeight="1">
      <x:c r="A3" s="225" t="str">
        <x:v>Authority: stage_5_timber_2021-06-16.docx. This sheet consolidates 253 source placements into 77 unique exact top-level statements; spacing alone is normalised. The program links outcomes to whole units, not individual content statements, so no dot-point-to-IND crosswalk is inferred. This is complete against the supplied program, not proof that every official syllabus dot point has been extracted.</x:v>
      </x:c>
      <x:c r="B3" s="225"/>
      <x:c r="C3" s="225"/>
      <x:c r="D3" s="225"/>
      <x:c r="E3" s="225"/>
      <x:c r="F3" s="225"/>
      <x:c r="G3" s="225"/>
      <x:c r="H3" s="225"/>
      <x:c r="I3" s="225"/>
      <x:c r="J3" s="225"/>
    </x:row>
    <x:row r="4" ht="40" customHeight="1">
      <x:c r="A4" s="225"/>
      <x:c r="B4" s="225"/>
      <x:c r="C4" s="225"/>
      <x:c r="D4" s="225"/>
      <x:c r="E4" s="225"/>
      <x:c r="F4" s="225"/>
      <x:c r="G4" s="225"/>
      <x:c r="H4" s="225"/>
      <x:c r="I4" s="225"/>
      <x:c r="J4" s="225"/>
    </x:row>
    <x:row r="6">
      <x:c r="A6" s="427" t="str">
        <x:v>Formal project</x:v>
      </x:c>
      <x:c r="B6" s="427" t="str">
        <x:v>Source-defined scaffold role</x:v>
      </x:c>
      <x:c r="C6" s="427" t="str">
        <x:v>Source authority</x:v>
      </x:c>
      <x:c r="E6" s="347" t="str">
        <x:v>Content-map status</x:v>
      </x:c>
      <x:c r="F6" s="347" t="str">
        <x:v>Count</x:v>
      </x:c>
      <x:c r="H6" s="227" t="str">
        <x:v>Traceability boundary</x:v>
      </x:c>
      <x:c r="I6" s="227"/>
      <x:c r="J6" s="227"/>
    </x:row>
    <x:row r="7" ht="72" customHeight="1">
      <x:c r="A7" s="259" t="str">
        <x:v>Breadboard</x:v>
      </x:c>
      <x:c r="B7" s="248" t="str">
        <x:v>For the commencement of the 200-hour course, this unit provides the opportunity for students to gain basic hand skills and confidence in working with timber. Students are required to select and use skills, techniques, tools, equipment and materials specifically suited to their individual project. Students are required to comprehensively document the skills they have learned to demonstrate their understanding of content and safety related to the basic woodworking skills</x:v>
      </x:c>
      <x:c r="C7" s="249" t="str">
        <x:v>stage_5_timber_2021-06-16.docx, table 10, row 1</x:v>
      </x:c>
      <x:c r="E7" s="404" t="str">
        <x:v>Mapped</x:v>
      </x:c>
      <x:c r="F7" s="405" t="n">
        <x:f>COUNTIF($H$16:$H$92,E7)</x:f>
        <x:v>75</x:v>
      </x:c>
      <x:c r="H7" s="412" t="str">
        <x:v>Mapped means the exact statement occurs in at least one formal project represented in the audited hub. It does not claim an exact webpage module match unless a page is named elsewhere. Has gaps is reserved for the two Pen-only lathe statements: the program contains them, but no Pen project/site evidence row exists. Named teaching activities, student evidence and resources are preserved from the source rather than inferred.</x:v>
      </x:c>
      <x:c r="I7" s="412"/>
      <x:c r="J7" s="412"/>
    </x:row>
    <x:row r="8" ht="72" customHeight="1">
      <x:c r="A8" s="260" t="str">
        <x:v>Clock</x:v>
      </x:c>
      <x:c r="B8" s="251" t="str">
        <x:v>As the following unit to the breadboard, this unit enables students to use the basic skills they have developed to make decisions about the design and manufacture of this project. Students are encouraged to work more autonomously, though still guided. This subject aims to promote students’ confidence in their own abilities. Students will learn about timber conversion and seasoning throughout this unit.</x:v>
      </x:c>
      <x:c r="C8" s="252" t="str">
        <x:v>stage_5_timber_2021-06-16.docx, table 16, row 1</x:v>
      </x:c>
      <x:c r="E8" s="408" t="str">
        <x:v>Has gaps</x:v>
      </x:c>
      <x:c r="F8" s="409" t="n">
        <x:f>COUNTIF($H$16:$H$92,E8)</x:f>
        <x:v>2</x:v>
      </x:c>
      <x:c r="H8" s="412"/>
      <x:c r="I8" s="412"/>
      <x:c r="J8" s="412"/>
    </x:row>
    <x:row r="9" ht="72" customHeight="1">
      <x:c r="A9" s="260" t="str">
        <x:v>Pen</x:v>
      </x:c>
      <x:c r="B9" s="251" t="str">
        <x:v>The pen is an additional unit carried out after either the clock or the tool carryall. This unit is designed to give students some exposure to wood turning. This unit can be completed in one to two week.</x:v>
      </x:c>
      <x:c r="C9" s="252" t="str">
        <x:v>stage_5_timber_2021-06-16.docx, table 22, row 1</x:v>
      </x:c>
      <x:c r="H9" s="412"/>
      <x:c r="I9" s="412"/>
      <x:c r="J9" s="412"/>
    </x:row>
    <x:row r="10" ht="72" customHeight="1">
      <x:c r="A10" s="260" t="str">
        <x:v>Tool Carry-all</x:v>
      </x:c>
      <x:c r="B10" s="251" t="str">
        <x:v>As the final large unit of the year 9 wood technology course the tool carry all is aimed at developing some more advanced techniques in joinery. Students have the option to attempt a box pin joint or a dovetail joint for their project, this challenges students to utilise their newly developed knowledge and skills. Students will also gain knowledge in the theory of joinery both traditional and modern, and research different finishing techniques that can be used for the project.</x:v>
      </x:c>
      <x:c r="C10" s="252" t="str">
        <x:v>stage_5_timber_2021-06-16.docx, table 28, row 1</x:v>
      </x:c>
      <x:c r="H10" s="412"/>
      <x:c r="I10" s="412"/>
      <x:c r="J10" s="412"/>
    </x:row>
    <x:row r="11" ht="72" customHeight="1">
      <x:c r="A11" s="260" t="str">
        <x:v>Mirror</x:v>
      </x:c>
      <x:c r="B11" s="251" t="str">
        <x:v>The mirror frames’ flexible design allows students to use design principles to enhance and individualise their project. Students will develop and use jigs to manufacture components of the project. Students will be asked to investigate various joining and fabrication techniques.</x:v>
      </x:c>
      <x:c r="C11" s="252" t="str">
        <x:v>stage_5_timber_2021-06-16.docx, table 34, row 1</x:v>
      </x:c>
      <x:c r="H11" s="412"/>
      <x:c r="I11" s="412"/>
      <x:c r="J11" s="412"/>
    </x:row>
    <x:row r="12" ht="72" customHeight="1">
      <x:c r="A12" s="261" t="str">
        <x:v>Bedside Table</x:v>
      </x:c>
      <x:c r="B12" s="254" t="str">
        <x:v>As the culmination of the 200-hour course, this unit provides the opportunity for students to draw together all the knowledge, skills and understanding developed in the previous units Students are required to select and use skills, techniques, tools, equipment and materials specifically suited to their individual project. The development and production of the project are documented in detail and presented in a comprehensive project report using appropriate workplace communication skills.</x:v>
      </x:c>
      <x:c r="C12" s="255" t="str">
        <x:v>stage_5_timber_2021-06-16.docx, table 40, row 1</x:v>
      </x:c>
      <x:c r="H12" s="412"/>
      <x:c r="I12" s="412"/>
      <x:c r="J12" s="412"/>
    </x:row>
    <x:row r="15" ht="40" customHeight="1">
      <x:c r="A15" s="370" t="str">
        <x:v>Content ID</x:v>
      </x:c>
      <x:c r="B15" s="370" t="str">
        <x:v>Exact current-program content statement</x:v>
      </x:c>
      <x:c r="C15" s="370" t="str">
        <x:v>Exact examples / elaborations</x:v>
      </x:c>
      <x:c r="D15" s="370" t="str">
        <x:v>Formal project and week placements</x:v>
      </x:c>
      <x:c r="E15" s="370" t="str">
        <x:v>Programmed learning / activity</x:v>
      </x:c>
      <x:c r="F15" s="370" t="str">
        <x:v>Source-named student evidence / resource</x:v>
      </x:c>
      <x:c r="G15" s="370" t="str">
        <x:v>Audited hub evidence pointer</x:v>
      </x:c>
      <x:c r="H15" s="370" t="str">
        <x:v>Status</x:v>
      </x:c>
      <x:c r="I15" s="370" t="str">
        <x:v>Source authority</x:v>
      </x:c>
      <x:c r="J15" s="370" t="str">
        <x:v>Required action / limitation</x:v>
      </x:c>
    </x:row>
    <x:row r="16" ht="594" hidden="0" customHeight="1">
      <x:c r="A16" s="465" t="str">
        <x:v>CP001</x:v>
      </x:c>
      <x:c r="B16" s="448" t="str">
        <x:v>safely use and maintain hand, power and machine tools</x:v>
      </x:c>
      <x:c r="C16" s="448" t="str">
        <x:v>Not stated in source.</x:v>
      </x:c>
      <x:c r="D16" s="448" t="str">
        <x:v>Breadboard Week 1
Breadboard Week 2
Breadboard Week 10
Clock Week 1
Tool Carry-all Week 10
Mirror Week 2
Mirror Week 4
Mirror Week 5
Mirror Week 6
Mirror Week 10
Bedside Table Week 2
Bedside Table Week 3
Bedside Table Week 4
Bedside Table Week 5
Bedside Table Week 6</x:v>
      </x:c>
      <x:c r="E16" s="448" t="str">
        <x:v>Breadboard Week 1: Workshop introduction. Marking and measuring exercise.
Breadboard Week 2: Mark, cut and plane each side of the breadboard. Onguard safety tests.
Breadboard Week 10: Present Project and Booklet for marking. Workshop maintenance.
Clock Week 1: Mark, cut and dress front and back.
Tool Carry-all Week 10: Cut housing joints for handle (optional depending on student progress) - Workshop Maintenance.
Mirror Week 2: Design and sketches. Measure and Mark-out. Safe use of Tools and Equipment.
Mirror Week 4: Dowel, biscuit and Domino Joints. Research and select suitable timbers. Timber properties and suitable joinery
Mirror Week 5: Dowel, biscuit and Domino Joints, or other suitable Joints.
Mirror Week 6: Dowel, biscuit and Domino Joints, or other suitable Joints.
Mirror Week 10: Adding Design Features. Workshop Maintenence.
Bedside Table Week 2: Design and sketches. Measure and Mark-out.
Bedside Table Week 3: Dress and prepare timber to size. DAR - FEWTEL
Bedside Table Week 4: On-guard Mortiser
Bedside Table Week 5: Mortise and Tenon Joints. On guard - Bandsaw
Bedside Table Week 6: Mortise and Tenon Joints - SOP Bandsaw</x:v>
      </x:c>
      <x:c r="F16" s="448" t="str">
        <x:v>Breadboard Week 1: Theory: Onguard topics and quiz's General Machine Safety (BasicWorkshop) General Workshop Safety (BasicWorkshop) Workplace Safety Signs (BasicWorkshop) Workshop Tour Discussion and demonstrate - The safe handling of tools, and PPE. Workbook/Folio: Design Brief, constraints and considerations General Workshop Safety Practical: Demonstrate / Observe: Mark out lengths using hand tools. | Resource: Google Classroom - Week 1
Breadboard Week 2: Theory: Onguard topics and quiz's Woodworking Handtools (BasicWorkshop) Workplace Safety Signs (BasicWorkshop) Discussion: Cup, bow, twist, knots, grain direction, sap veins, heartwood, sapwood Manmade faults. E.g. dents, poor machining etc. Workbook/Folio: SOP Disc Sander Practical: Demonstrate / Observe: The use of Jack Plane, parts and their function. How to apply face /edge marks. | Resource: Google Classroom - Week 2
Breadboard Week 10: Theory: Workbook/Folio Research timber types and features Practical: Demonstrate / Observe: Workshop maintenance and clean up | Resource: Google Classroom - Week 10
Clock Week 1: Theory: Onguard topics and quiz's Reinforce the safe use of machines. Refresh the importance of PPE Discussion: Workbook/Folio: Design Constraints SOP for Using the large Forstner Bit. Practical: Demonstrate / Observe: Mark out lengths Apply face marks. Cut timber to length | Resource: Google Classroom - Week 1
Tool Carry-all Week 10: Theory: Discussion: The importance of good workshop maintenance Practical: Demonstrate / Observe: Manual handling Techniques | Resource: No resource location stated in source row.
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Mirror Week 4: Theory: Discussion: Refresh safety aspects for powertool use Suitability of dowel, biscuits and dominos Workbook/Folio: Joinery Research Practical: Demonstrate / Observe: The use of the dowel, biscuit and domino cutters | Resource: No resource location stated in source row.
Mirror Week 5: Theory: Discussion: Cont' Refresh safety aspects for powertool use Suitability of dowel, biscuits and dominos Workbook/Folio: Con't Joinery Research Practical: Demonstrate / Observe: Cont' The use of the dowel, biscuit and domino cutters | Resource: No resource location stated in source row.
Mirror Week 6: Theory: Discussion: Cont' Refresh safety aspects for powertool use Suitability of dowel, biscuits and dominos Workbook/Folio: Con't Joinery Research Practical: Demonstrate / Observe: Cont' The use of the dowel, biscuit and domino cutters | Resource: No resource location stated in source row.
Mirror Week 10: Theory: Discussion: The importance of good workshop maintenance Practical: Demonstrate / Observe: Manual handling techniques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
Bedside Table Week 3: Theory: Discussion: Refresh FEWTEL. DAR Workbook/Folio: Sketch out design ideas (Cont') Modification of existing plans Practical: Demonstrate / Observe: Refresh The use of the handplane / Thicknesser | Resource: No resource location stated in source row.
Bedside Table Week 4: Theory: Discussion: Refresh safety aspects for Machine use Suitability of Mortise and Tenon Joints Workbook/Folio: Tools, machinery and their uses in making the bedside table Onguard - Mortiser Practical: Demonstrate / Observe: The use of the Mortise Machine | Resource: No resource location stated in source row.
Bedside Table Week 5: Theory: Discussion: Uses of the bandsaw. Tracking and trouble shooting Workbook/Folio: Onguard - Bandsaw Practical: Demonstrate / Observe: Using the mortise machine and Bandsaw to cut mortise and tenon joints | Resource: No resource location stated in source row.
Bedside Table Week 6: Theory: Discussion: Uses of the bandsaw. Tracking and trouble shooting Workbook/Folio: SOP - Bandsaw Practical: Demonstrate / Observe: Using the mortise machine and Bandsaw to cut mortise and tenon joints | Resource: No resource location stated in source row.</x:v>
      </x:c>
      <x:c r="G16" s="448" t="str">
        <x:v>Breadboard: Project Evidence row 5
Clock: Project Evidence row 7
Tool Carry-all: Project Evidence row 8
Mirror: Project Evidence row 9
Bedside Table: Project Evidence row 10</x:v>
      </x:c>
      <x:c r="H16" s="474" t="str">
        <x:v>Mapped</x:v>
      </x:c>
      <x:c r="I16" s="448" t="str">
        <x:v>stage_5_timber_2021-06-16.docx, table 12, row 1
stage_5_timber_2021-06-16.docx, table 12, row 2
stage_5_timber_2021-06-16.docx, table 12, row 10
stage_5_timber_2021-06-16.docx, table 18, row 1
stage_5_timber_2021-06-16.docx, table 30, row 10
stage_5_timber_2021-06-16.docx, table 36, row 2
stage_5_timber_2021-06-16.docx, table 36, row 4
stage_5_timber_2021-06-16.docx, table 36, row 5
stage_5_timber_2021-06-16.docx, table 36, row 6
stage_5_timber_2021-06-16.docx, table 36, row 10
stage_5_timber_2021-06-16.docx, table 42, row 2
stage_5_timber_2021-06-16.docx, table 42, row 3
stage_5_timber_2021-06-16.docx, table 42, row 4
stage_5_timber_2021-06-16.docx, table 42, row 5
stage_5_timber_2021-06-16.docx, table 42, row 6</x:v>
      </x:c>
      <x:c r="J16" s="449" t="str">
        <x:v>Not applicable</x:v>
      </x:c>
    </x:row>
    <x:row r="17" ht="216" hidden="0" customHeight="1">
      <x:c r="A17" s="466" t="str">
        <x:v>CP002</x:v>
      </x:c>
      <x:c r="B17" s="451" t="str">
        <x:v>measure and mark out materials accurately from a workshop drawing</x:v>
      </x:c>
      <x:c r="C17" s="451" t="str">
        <x:v>mark out using a try square and marking gauge</x:v>
      </x:c>
      <x:c r="D17" s="451" t="str">
        <x:v>Breadboard Week 1
Breadboard Week 2
Clock Week 1
Tool Carry-all Week 3
Tool Carry-all Week 9</x:v>
      </x:c>
      <x:c r="E17" s="451" t="str">
        <x:v>Breadboard Week 1: Workshop introduction. Marking and measuring exercise.
Breadboard Week 2: Mark, cut and plane each side of the breadboard. Onguard safety tests.
Clock Week 1: Mark, cut and dress front and back.
Tool Carry-all Week 3: Mark and cut sides of carry-all. Start cutting box-pin or dovetail.
Tool Carry-all Week 9: Mark, out cut and shape handle.</x:v>
      </x:c>
      <x:c r="F17" s="451" t="str">
        <x:v>Breadboard Week 1: Theory: Onguard topics and quiz's General Machine Safety (BasicWorkshop) General Workshop Safety (BasicWorkshop) Workplace Safety Signs (BasicWorkshop) Workshop Tour Discussion and demonstrate - The safe handling of tools, and PPE. Workbook/Folio: Design Brief, constraints and considerations General Workshop Safety Practical: Demonstrate / Observe: Mark out lengths using hand tools. | Resource: Google Classroom - Week 1
Breadboard Week 2: Theory: Onguard topics and quiz's Woodworking Handtools (BasicWorkshop) Workplace Safety Signs (BasicWorkshop) Discussion: Cup, bow, twist, knots, grain direction, sap veins, heartwood, sapwood Manmade faults. E.g. dents, poor machining etc. Workbook/Folio: SOP Disc Sander Practical: Demonstrate / Observe: The use of Jack Plane, parts and their function. How to apply face /edge marks. | Resource: Google Classroom - Week 2
Clock Week 1: Theory: Onguard topics and quiz's Reinforce the safe use of machines. Refresh the importance of PPE Discussion: Workbook/Folio: Design Constraints SOP for Using the large Forstner Bit. Practical: Demonstrate / Observe: Mark out lengths Apply face marks. Cut timber to length | Resource: Google Classroom - Week 1
Tool Carry-all Week 3: Theory: Discussion: Suitable Joints for this project Workbook/Folio: Qualities of Radiata Pine Practical: Demonstrate / Observe: Mark out lengths Apply face marks. Cut timber to length | Resource: No resource location stated in source row.
Tool Carry-all Week 9: Theory: Discussion: The use of templates Workbook/Folio: Handle Designs Practical: Demonstrate / Observe: Mark, cut and shape handle | Resource: No resource location stated in source row.</x:v>
      </x:c>
      <x:c r="G17" s="451" t="str">
        <x:v>Breadboard: Project Evidence row 5
Clock: Project Evidence row 7
Tool Carry-all: Project Evidence row 8</x:v>
      </x:c>
      <x:c r="H17" s="475" t="str">
        <x:v>Mapped</x:v>
      </x:c>
      <x:c r="I17" s="451" t="str">
        <x:v>stage_5_timber_2021-06-16.docx, table 12, row 1
stage_5_timber_2021-06-16.docx, table 12, row 2
stage_5_timber_2021-06-16.docx, table 18, row 1
stage_5_timber_2021-06-16.docx, table 30, row 3
stage_5_timber_2021-06-16.docx, table 30, row 9</x:v>
      </x:c>
      <x:c r="J17" s="452" t="str">
        <x:v>Not applicable</x:v>
      </x:c>
    </x:row>
    <x:row r="18" ht="54" hidden="0" customHeight="1">
      <x:c r="A18" s="466" t="str">
        <x:v>CP003</x:v>
      </x:c>
      <x:c r="B18" s="451" t="str">
        <x:v>recognise and comply with WHS signage, for example:</x:v>
      </x:c>
      <x:c r="C18" s="451" t="str">
        <x:v>identify the colours and shapes associated with types of WHS signage</x:v>
      </x:c>
      <x:c r="D18" s="451" t="str">
        <x:v>Breadboard Week 1</x:v>
      </x:c>
      <x:c r="E18" s="451" t="str">
        <x:v>Breadboard Week 1: Workshop introduction. Marking and measuring exercise.</x:v>
      </x:c>
      <x:c r="F18" s="451" t="str">
        <x:v>Breadboard Week 1: Theory: Onguard topics and quiz's General Machine Safety (BasicWorkshop) General Workshop Safety (BasicWorkshop) Workplace Safety Signs (BasicWorkshop) Workshop Tour Discussion and demonstrate - The safe handling of tools, and PPE. Workbook/Folio: Design Brief, constraints and considerations General Workshop Safety Practical: Demonstrate / Observe: Mark out lengths using hand tools. | Resource: Google Classroom - Week 1</x:v>
      </x:c>
      <x:c r="G18" s="451" t="str">
        <x:v>Breadboard: Project Evidence row 5</x:v>
      </x:c>
      <x:c r="H18" s="475" t="str">
        <x:v>Mapped</x:v>
      </x:c>
      <x:c r="I18" s="451" t="str">
        <x:v>stage_5_timber_2021-06-16.docx, table 12, row 1</x:v>
      </x:c>
      <x:c r="J18" s="452" t="str">
        <x:v>Not applicable</x:v>
      </x:c>
    </x:row>
    <x:row r="19" ht="291.6000061035156" hidden="0" customHeight="1">
      <x:c r="A19" s="466" t="str">
        <x:v>CP004</x:v>
      </x:c>
      <x:c r="B19" s="451" t="str">
        <x:v>select and use personal protective equipment (PPE) when working with tools, materials and machines, for example:</x:v>
      </x:c>
      <x:c r="C19" s="451" t="str">
        <x:v>wear appropriate footwear
wear eye protection, eg safety glasses when drilling
wear protective clothing
wear ear protection, eg ear muffs when using machinery
wear eye protection, eg safety glasses when woodturning</x:v>
      </x:c>
      <x:c r="D19" s="451" t="str">
        <x:v>Breadboard Week 2
Clock Week 1
Pen Week 1
Pen Week 2
Tool Carry-all Week 12
Mirror Week 2
Bedside Table Week 2</x:v>
      </x:c>
      <x:c r="E19" s="451" t="str">
        <x:v>Breadboard Week 2: Mark, cut and plane each side of the breadboard. Onguard safety tests.
Clock Week 1: Mark, cut and dress front and back.
Pen Week 1: Demonstration of turning. Practice on scrap.
Pen Week 2: Work on and complete pen.
Tool Carry-all Week 12: SWMS for tool carry all.
Mirror Week 2: Design and sketches. Measure and Mark-out. Safe use of Tools and Equipment.
Bedside Table Week 2: Design and sketches. Measure and Mark-out.</x:v>
      </x:c>
      <x:c r="F19" s="451" t="str">
        <x:v>Breadboard Week 2: Theory: Onguard topics and quiz's Woodworking Handtools (BasicWorkshop) Workplace Safety Signs (BasicWorkshop) Discussion: Cup, bow, twist, knots, grain direction, sap veins, heartwood, sapwood Manmade faults. E.g. dents, poor machining etc. Workbook/Folio: SOP Disc Sander Practical: Demonstrate / Observe: The use of Jack Plane, parts and their function. How to apply face /edge marks. | Resource: Google Classroom - Week 2
Clock Week 1: Theory: Onguard topics and quiz's Reinforce the safe use of machines. Refresh the importance of PPE Discussion: Workbook/Folio: Design Constraints SOP for Using the large Forstner Bit. Practical: Demonstrate / Observe: Mark out lengths Apply face marks. Cut timber to length | Resource: Google Classroom - Week 1
Pen Week 1: Theory: Discussion: Types of uses for the Wood Lathe Workbook/Folio: Risk management for using the Lathe Practical: Demonstrate / Observe: Setup and demonstrate turning techniques. Simple scraping and cutting between centres Sanding and finishing on the lathe Turn a timber pen - Start to finish | Resource: No resource location stated in source row.
Pen Week 2: Demonstrate / Observe: Setup for turning. Simple scraping and cutting between centres - Techniques Sanding and finishing on the lathe Turn a timber pen - Start to finish | Resource: No resource location stated in source row.
Tool Carry-all Week 12: Theory: Workbook/Folio: Sequencing exercise Safe Work Method Statement Practical: Demonstrate / Observe: Dry assembly glue and clamping process checking for square | Resource: No resource location stated in source row.
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x:v>
      </x:c>
      <x:c r="G19" s="451" t="str">
        <x:v>Breadboard: Project Evidence row 5
Clock: Project Evidence row 7
Pen: SCOPE-01; no Project Evidence row
Tool Carry-all: Project Evidence row 8
Mirror: Project Evidence row 9
Bedside Table: Project Evidence row 10</x:v>
      </x:c>
      <x:c r="H19" s="475" t="str">
        <x:v>Mapped</x:v>
      </x:c>
      <x:c r="I19" s="451" t="str">
        <x:v>stage_5_timber_2021-06-16.docx, table 12, row 2
stage_5_timber_2021-06-16.docx, table 18, row 1
stage_5_timber_2021-06-16.docx, table 24, row 1
stage_5_timber_2021-06-16.docx, table 24, row 2
stage_5_timber_2021-06-16.docx, table 30, row 12
stage_5_timber_2021-06-16.docx, table 36, row 2
stage_5_timber_2021-06-16.docx, table 42, row 2</x:v>
      </x:c>
      <x:c r="J19" s="452" t="str">
        <x:v>Not applicable</x:v>
      </x:c>
    </x:row>
    <x:row r="20" ht="226.8000030517578" hidden="0" customHeight="1">
      <x:c r="A20" s="466" t="str">
        <x:v>CP005</x:v>
      </x:c>
      <x:c r="B20" s="451" t="str">
        <x:v>select, use and adjust hand tools in the production of practical projects, for example:</x:v>
      </x:c>
      <x:c r="C20" s="451" t="str">
        <x:v>plane a timber edge in preparation for joining
using a tenon saw to cut on waste side of line
using sash cramps to join two boards of timber
mark out using a try square and marking gauge</x:v>
      </x:c>
      <x:c r="D20" s="451" t="str">
        <x:v>Breadboard Week 2
Breadboard Week 3
Clock Week 5
Tool Carry-all Week 1
Tool Carry-all Week 3
Tool Carry-all Week 11</x:v>
      </x:c>
      <x:c r="E20" s="451" t="str">
        <x:v>Breadboard Week 2: Mark, cut and plane each side of the breadboard. Onguard safety tests.
Breadboard Week 3: Biscuit join sides of breadboard together and cut ends.
Clock Week 5: Mark, cut and plane chamfer top and bottom of clock and glue to body.
Tool Carry-all Week 1: Demonstration of how to cut dovetail joint. Students to cut a practice from scrap.
Tool Carry-all Week 3: Mark and cut sides of carry-all. Start cutting box-pin or dovetail.
Tool Carry-all Week 11: Assembly of tool carry-all</x:v>
      </x:c>
      <x:c r="F20" s="451" t="str">
        <x:v>Breadboard Week 2: Theory: Onguard topics and quiz's Woodworking Handtools (BasicWorkshop) Workplace Safety Signs (BasicWorkshop) Discussion: Cup, bow, twist, knots, grain direction, sap veins, heartwood, sapwood Manmade faults. E.g. dents, poor machining etc. Workbook/Folio: SOP Disc Sander Practical: Demonstrate / Observe: The use of Jack Plane, parts and their function. How to apply face /edge marks. | Resource: Google Classroom - Week 2
Breadboard Week 3: Theory: Onguard topics and quiz's Disc Sander (WOODTech) Festo Domino Jointer - Corded/Electric (WOODTech) Bench &amp; Pedestal Drill (BasicWorkshop) Discussion: Grain direction and board layout Workbook/Folio SOP Biscuit Cutter Practical: Demonstrate / Observe: The use of the Biscuit Jointer, Pedestal Drill and disc sander. | Resource: Google Classroom - Week 3
Clock Week 5: Theory: Discussion: Discuss correct grain direction. Workbook/Folio: Drill/Turning Processes Practical: Demonstrate / Observe: Dry fit and glue carcass. Test for square. Set out and plane back. Design top and bottom. | Resource: Google Classroom - Week 5
Tool Carry-all Week 1: Theory: Discussion: Refresh Onguard topics and quiz's Reinforce the safe use of machines. Refresh the importance of PPE Workbook/Folio: Materials List Practical: Demonstrate / Observe: Mark out and cut Finger joints / Dovetail joints | Resource: Student Workbook
Tool Carry-all Week 3: Theory: Discussion: Suitable Joints for this project Workbook/Folio: Qualities of Radiata Pine Practical: Demonstrate / Observe: Mark out lengths Apply face marks. Cut timber to length | Resource: No resource location stated in source row.
Tool Carry-all Week 11: Theory: Discussion: The importance of dry assembly and checking for square. Workbook/Folio: Nails and Glues worksheets Practical: Demonstrate / Observe: Dry assembly glue and clamping process checking for square | Resource: No resource location stated in source row.</x:v>
      </x:c>
      <x:c r="G20" s="451" t="str">
        <x:v>Breadboard: Project Evidence row 5
Clock: Project Evidence row 7
Tool Carry-all: Project Evidence row 8</x:v>
      </x:c>
      <x:c r="H20" s="475" t="str">
        <x:v>Mapped</x:v>
      </x:c>
      <x:c r="I20" s="451" t="str">
        <x:v>stage_5_timber_2021-06-16.docx, table 12, row 2
stage_5_timber_2021-06-16.docx, table 12, row 3
stage_5_timber_2021-06-16.docx, table 18, row 5
stage_5_timber_2021-06-16.docx, table 30, row 1
stage_5_timber_2021-06-16.docx, table 30, row 3
stage_5_timber_2021-06-16.docx, table 30, row 11</x:v>
      </x:c>
      <x:c r="J20" s="452" t="str">
        <x:v>Not applicable</x:v>
      </x:c>
    </x:row>
    <x:row r="21" ht="216" hidden="0" customHeight="1">
      <x:c r="A21" s="466" t="str">
        <x:v>CP006</x:v>
      </x:c>
      <x:c r="B21" s="451" t="str">
        <x:v>identify and cut a range of timber joints, for example:</x:v>
      </x:c>
      <x:c r="C21" s="451" t="str">
        <x:v>widening joints, eg biscuit
box joints, eg rebate, housing, mitre
carcase joints, eg mortise and tenon, bridle</x:v>
      </x:c>
      <x:c r="D21" s="451" t="str">
        <x:v>Breadboard Week 3
Breadboard Week 5
Clock Week 2
Tool Carry-all Week 1
Tool Carry-all Week 3
Tool Carry-all Week 10</x:v>
      </x:c>
      <x:c r="E21" s="451" t="str">
        <x:v>Breadboard Week 3: Biscuit join sides of breadboard together and cut ends.
Breadboard Week 5: Begin completing laser-cut patterns. Biscuit join ends to the main board.
Clock Week 2: Mark, cut and dress sides. Drill front with oversize forstner bit.
Tool Carry-all Week 1: Demonstration of how to cut dovetail joint. Students to cut a practice from scrap.
Tool Carry-all Week 3: Mark and cut sides of carry-all. Start cutting box-pin or dovetail.
Tool Carry-all Week 10: Cut housing joints for handle (optional depending on student progress) - Workshop Maintenance.</x:v>
      </x:c>
      <x:c r="F21" s="451" t="str">
        <x:v>Breadboard Week 3: Theory: Onguard topics and quiz's Disc Sander (WOODTech) Festo Domino Jointer - Corded/Electric (WOODTech) Bench &amp; Pedestal Drill (BasicWorkshop) Discussion: Grain direction and board layout Workbook/Folio SOP Biscuit Cutter Practical: Demonstrate / Observe: The use of the Biscuit Jointer, Pedestal Drill and disc sander. | Resource: Google Classroom - Week 3
Breadboard Week 5: Theory: Discussion Joining techniques Workbook/Folio Joinery Research Practical: Demonstrate / Observe: Dry fitting using sash cramps. Glue and Clamping process | Resource: Google Classroom - Week 5
Clock Week 2: Theory: Discussion: Discuss the working characteristics of Softwoods in contrast to Hardwoods. Workbook/Folio: Joinery Research Hardware Research Cutting List (Paper Version) Practical: Demonstrate / Observe: Cut Rebates (Sides) Grain direction &amp; strength. Chiseling | Resource: Google Classroom - Week 2
Tool Carry-all Week 1: Theory: Discussion: Refresh Onguard topics and quiz's Reinforce the safe use of machines. Refresh the importance of PPE Workbook/Folio: Materials List Practical: Demonstrate / Observe: Mark out and cut Finger joints / Dovetail joints | Resource: Student Workbook
Tool Carry-all Week 3: Theory: Discussion: Suitable Joints for this project Workbook/Folio: Qualities of Radiata Pine Practical: Demonstrate / Observe: Mark out lengths Apply face marks. Cut timber to length | Resource: No resource location stated in source row.
Tool Carry-all Week 10: Theory: Discussion: The importance of good workshop maintenance Practical: Demonstrate / Observe: Manual handling Techniques | Resource: No resource location stated in source row.</x:v>
      </x:c>
      <x:c r="G21" s="451" t="str">
        <x:v>Breadboard: Project Evidence row 5
Clock: Project Evidence row 7
Tool Carry-all: Project Evidence row 8</x:v>
      </x:c>
      <x:c r="H21" s="475" t="str">
        <x:v>Mapped</x:v>
      </x:c>
      <x:c r="I21" s="451" t="str">
        <x:v>stage_5_timber_2021-06-16.docx, table 12, row 3
stage_5_timber_2021-06-16.docx, table 12, row 5
stage_5_timber_2021-06-16.docx, table 18, row 2
stage_5_timber_2021-06-16.docx, table 30, row 1
stage_5_timber_2021-06-16.docx, table 30, row 3
stage_5_timber_2021-06-16.docx, table 30, row 10</x:v>
      </x:c>
      <x:c r="J21" s="452" t="str">
        <x:v>Not applicable</x:v>
      </x:c>
    </x:row>
    <x:row r="22" ht="248.39999389648438" hidden="0" customHeight="1">
      <x:c r="A22" s="466" t="str">
        <x:v>CP007</x:v>
      </x:c>
      <x:c r="B22" s="451" t="str">
        <x:v>identify and investigate factors influencing design in timber projects, for example:</x:v>
      </x:c>
      <x:c r="C22" s="451" t="str">
        <x:v>grain
hardware
colour
proportion</x:v>
      </x:c>
      <x:c r="D22" s="451" t="str">
        <x:v>Breadboard Week 3
Breadboard Week 7
Clock Week 2
Tool Carry-all Week 2
Mirror Week 1
Bedside Table Week 1</x:v>
      </x:c>
      <x:c r="E22" s="451" t="str">
        <x:v>Breadboard Week 3: Biscuit join sides of breadboard together and cut ends.
Breadboard Week 7: Patterns must be finished by this week. Sand and prep for finishing.
Clock Week 2: Mark, cut and dress sides. Drill front with oversize forstner bit.
Tool Carry-all Week 2: Tools and Techniques used by Aboriginal and/or Torres Strait Islanders.
Mirror Week 1: Introduction and Workshop Safety. Constraints and limitations.
Bedside Table Week 1: Introduction. OHS and Risk Management.</x:v>
      </x:c>
      <x:c r="F22" s="451" t="str">
        <x:v>Breadboard Week 3: Theory: Onguard topics and quiz's Disc Sander (WOODTech) Festo Domino Jointer - Corded/Electric (WOODTech) Bench &amp; Pedestal Drill (BasicWorkshop) Discussion: Grain direction and board layout Workbook/Folio SOP Biscuit Cutter Practical: Demonstrate / Observe: The use of the Biscuit Jointer, Pedestal Drill and disc sander. | Resource: Google Classroom - Week 3
Breadboard Week 7: Theory: Discussion - Types of abrasive material used for surface preparation Workbook/Folio Research Timber Seasoning Practical: Demonstrate / Observe: Sanding Techniques | Resource: Google Classroom - Week 7
Clock Week 2: Theory: Discussion: Discuss the working characteristics of Softwoods in contrast to Hardwoods. Workbook/Folio: Joinery Research Hardware Research Cutting List (Paper Version) Practical: Demonstrate / Observe: Cut Rebates (Sides) Grain direction &amp; strength. Chiseling | Resource: Google Classroom - Week 2
Tool Carry-all Week 2: Theory: Discussion: Tools and Techniques used by Aboriginal and/or Torres Strait Islanders. Workbook/Folio: Research types of timbers aboriginal people used for making their tools and equipment. What qualities did these have that made them suitable. | Resource: No resource location stated in source row.
Mirror Week 1: Theory: Discussion: Refresh Onguard Topics and Quiz's Reinforce the safe use of machines. Refresh the importance of PPE Workbook/Folio: Design brief, constraints and considerations General Workshop Safety Sheet Practical: Demonstrate / Observe: Refresh - Measure, mark and cut a rebate and housing joint. | Resource: No resource location stated in source row.
Bedside Table Week 1: Theory: Discussion: Refresh Onguard Topics and Quiz's Reinforce the safe use of machines. Refresh the importance of PPE Workbook/Folio: General Workshop Safety Sheet - Refresh Purpose of the table and design Input Practical: Demonstrate / Observe: Refresh - Measure, mark and cut a mortice and tenon joint | Resource: No resource location stated in source row.</x:v>
      </x:c>
      <x:c r="G22" s="451" t="str">
        <x:v>Breadboard: Project Evidence row 5
Clock: Project Evidence row 7
Tool Carry-all: Project Evidence row 8
Mirror: Project Evidence row 9
Bedside Table: Project Evidence row 10</x:v>
      </x:c>
      <x:c r="H22" s="475" t="str">
        <x:v>Mapped</x:v>
      </x:c>
      <x:c r="I22" s="451" t="str">
        <x:v>stage_5_timber_2021-06-16.docx, table 12, row 3
stage_5_timber_2021-06-16.docx, table 12, row 7
stage_5_timber_2021-06-16.docx, table 18, row 2
stage_5_timber_2021-06-16.docx, table 30, row 2
stage_5_timber_2021-06-16.docx, table 36, row 1
stage_5_timber_2021-06-16.docx, table 42, row 1</x:v>
      </x:c>
      <x:c r="J22" s="452" t="str">
        <x:v>Not applicable</x:v>
      </x:c>
    </x:row>
    <x:row r="23" ht="183.60000610351562" hidden="0" customHeight="1">
      <x:c r="A23" s="466" t="str">
        <x:v>CP008</x:v>
      </x:c>
      <x:c r="B23" s="451" t="str">
        <x:v>produce practical projects using machines and portable power tools, for example:</x:v>
      </x:c>
      <x:c r="C23" s="451" t="str">
        <x:v>cutting a curve using a jigsaw
cutting a profile using a router</x:v>
      </x:c>
      <x:c r="D23" s="451" t="str">
        <x:v>Breadboard Week 4
Breadboard Week 6
Clock Week 4
Clock Week 7
Tool Carry-all Week 9</x:v>
      </x:c>
      <x:c r="E23" s="451" t="str">
        <x:v>Breadboard Week 4: Shape ends. Demonstration of using a laser cutter for patterns. Students to design patterns.
Breadboard Week 6: Demonstration on how to use the router. Onguard test. Router edges.
Clock Week 4: Assemble main body component of clock. Cut rebates inside of clock. Industry Connections
Clock Week 7: Mark and cut rebates for drawer. Mark, cut and plane sides.
Tool Carry-all Week 9: Mark, out cut and shape handle.</x:v>
      </x:c>
      <x:c r="F23" s="451" t="str">
        <x:v>Breadboard Week 4: Theory: Onguard topics and quiz's Laser Cutter (CleanTech) Discussion: Design options for ends and handles Workbook/Folio: SOP Disc Sander SOP Pedestal Drill Freehand sketches of design ideas Practical: Demonstrate / Observe: The use of the laser cutter (Teacher use only) The use of the jigsaw The use of the pedestal drill and hole saw | Resource: Google Classroom - Week 4
Breadboard Week 6: Theory: Onguard topics and quiz's Router - Corded/Electric (WOODTech) Discussion Types of router bits and design options Workbook/Folio Router profile sheet Practical: Demonstrate / Observe: The use of a router to cut a profile | Resource: Google Classroom - Week 6
Clock Week 4: Theory: Discussion: Compare to industry methods. Workbook/Folio: Tools / Machines Used / SOP Make a List and compare the tools/machines the students and industry used. Practical: Demonstrate / Observe: Mark and cut out front and back pieces. Set out sub-top and sub-bottom. | Resource: Google Classroom - Week 4
Clock Week 7: Theory: Discussion: Possible environmental impact through production of such products. Practical: Demonstrate / Observe: Cut out ‘secret drawer’. Route 6mm chamfer around inside of dial | Resource: Google Classroom - Week 7
Tool Carry-all Week 9: Theory: Discussion: The use of templates Workbook/Folio: Handle Designs Practical: Demonstrate / Observe: Mark, cut and shape handle | Resource: No resource location stated in source row.</x:v>
      </x:c>
      <x:c r="G23" s="451" t="str">
        <x:v>Breadboard: Project Evidence row 5
Clock: Project Evidence row 7
Tool Carry-all: Project Evidence row 8</x:v>
      </x:c>
      <x:c r="H23" s="475" t="str">
        <x:v>Mapped</x:v>
      </x:c>
      <x:c r="I23" s="451" t="str">
        <x:v>stage_5_timber_2021-06-16.docx, table 12, row 4
stage_5_timber_2021-06-16.docx, table 12, row 6
stage_5_timber_2021-06-16.docx, table 18, row 4
stage_5_timber_2021-06-16.docx, table 18, row 7
stage_5_timber_2021-06-16.docx, table 30, row 9</x:v>
      </x:c>
      <x:c r="J23" s="452" t="str">
        <x:v>Not applicable</x:v>
      </x:c>
    </x:row>
    <x:row r="24" ht="75.5999984741211" hidden="0" customHeight="1">
      <x:c r="A24" s="466" t="str">
        <x:v>CP009</x:v>
      </x:c>
      <x:c r="B24" s="451" t="str">
        <x:v>explore timber decoration techniques, for example:</x:v>
      </x:c>
      <x:c r="C24" s="451" t="str">
        <x:v>laser engraving</x:v>
      </x:c>
      <x:c r="D24" s="451" t="str">
        <x:v>Breadboard Week 4
Breadboard Week 5</x:v>
      </x:c>
      <x:c r="E24" s="451" t="str">
        <x:v>Breadboard Week 4: Shape ends. Demonstration of using a laser cutter for patterns. Students to design patterns.
Breadboard Week 5: Begin completing laser-cut patterns. Biscuit join ends to the main board.</x:v>
      </x:c>
      <x:c r="F24" s="451" t="str">
        <x:v>Breadboard Week 4: Theory: Onguard topics and quiz's Laser Cutter (CleanTech) Discussion: Design options for ends and handles Workbook/Folio: SOP Disc Sander SOP Pedestal Drill Freehand sketches of design ideas Practical: Demonstrate / Observe: The use of the laser cutter (Teacher use only) The use of the jigsaw The use of the pedestal drill and hole saw | Resource: Google Classroom - Week 4
Breadboard Week 5: Theory: Discussion Joining techniques Workbook/Folio Joinery Research Practical: Demonstrate / Observe: Dry fitting using sash cramps. Glue and Clamping process | Resource: Google Classroom - Week 5</x:v>
      </x:c>
      <x:c r="G24" s="451" t="str">
        <x:v>Breadboard: Project Evidence row 5</x:v>
      </x:c>
      <x:c r="H24" s="475" t="str">
        <x:v>Mapped</x:v>
      </x:c>
      <x:c r="I24" s="451" t="str">
        <x:v>stage_5_timber_2021-06-16.docx, table 12, row 4
stage_5_timber_2021-06-16.docx, table 12, row 5</x:v>
      </x:c>
      <x:c r="J24" s="452" t="str">
        <x:v>Not applicable</x:v>
      </x:c>
    </x:row>
    <x:row r="25" ht="216" hidden="0" customHeight="1">
      <x:c r="A25" s="466" t="str">
        <x:v>CP010</x:v>
      </x:c>
      <x:c r="B25" s="451" t="str">
        <x:v>use and/or modify existing designs when completing projects</x:v>
      </x:c>
      <x:c r="C25" s="451" t="str">
        <x:v>Not stated in source.</x:v>
      </x:c>
      <x:c r="D25" s="451" t="str">
        <x:v>Breadboard Week 4
Clock Week 1
Tool Carry-all Week 4
Tool Carry-all Week 5
Tool Carry-all Week 6</x:v>
      </x:c>
      <x:c r="E25" s="451" t="str">
        <x:v>Breadboard Week 4: Shape ends. Demonstration of using a laser cutter for patterns. Students to design patterns.
Clock Week 1: Mark, cut and dress front and back.
Tool Carry-all Week 4: Industry research exercise. Continue with Joint Construction.
Tool Carry-all Week 5: Industry Research Task. Continue cutting box-pins or dovetails.
Tool Carry-all Week 6: Industry Research Task. Complete joinery and begin to cut rebate for bottom.</x:v>
      </x:c>
      <x:c r="F25" s="451" t="str">
        <x:v>Breadboard Week 4: Theory: Onguard topics and quiz's Laser Cutter (CleanTech) Discussion: Design options for ends and handles Workbook/Folio: SOP Disc Sander SOP Pedestal Drill Freehand sketches of design ideas Practical: Demonstrate / Observe: The use of the laser cutter (Teacher use only) The use of the jigsaw The use of the pedestal drill and hole saw | Resource: Google Classroom - Week 4
Clock Week 1: Theory: Onguard topics and quiz's Reinforce the safe use of machines. Refresh the importance of PPE Discussion: Workbook/Folio: Design Constraints SOP for Using the large Forstner Bit. Practical: Demonstrate / Observe: Mark out lengths Apply face marks. Cut timber to length | Resource: Google Classroom - Week 1
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x:v>
      </x:c>
      <x:c r="G25" s="451" t="str">
        <x:v>Breadboard: Project Evidence row 5
Clock: Project Evidence row 7
Tool Carry-all: Project Evidence row 8</x:v>
      </x:c>
      <x:c r="H25" s="475" t="str">
        <x:v>Mapped</x:v>
      </x:c>
      <x:c r="I25" s="451" t="str">
        <x:v>stage_5_timber_2021-06-16.docx, table 12, row 4
stage_5_timber_2021-06-16.docx, table 18, row 1
stage_5_timber_2021-06-16.docx, table 30, row 4
stage_5_timber_2021-06-16.docx, table 30, row 5
stage_5_timber_2021-06-16.docx, table 30, row 6</x:v>
      </x:c>
      <x:c r="J25" s="452" t="str">
        <x:v>Not applicable</x:v>
      </x:c>
    </x:row>
    <x:row r="26" ht="442.79998779296875" hidden="0" customHeight="1">
      <x:c r="A26" s="466" t="str">
        <x:v>CP011</x:v>
      </x:c>
      <x:c r="B26" s="451" t="str">
        <x:v>demonstrate safe workshop practices and procedures, for example:</x:v>
      </x:c>
      <x:c r="C26" s="451" t="str">
        <x:v>clamp materials securely when cutting or drilling
manage trip hazards in the workshop
work collaboratively
lift and carry materials safely
follow workshop signage instructions
clamp materials securely when cutting, drilling or routing
apply finishes in a well-ventilated area</x:v>
      </x:c>
      <x:c r="D26" s="451" t="str">
        <x:v>Breadboard Week 5
Breadboard Week 10
Clock Week 1
Clock Week 10
Pen Week 1
Pen Week 2
Tool Carry-all Week 12
Mirror Week 1
Mirror Week 8
Mirror Week 16
Bedside Table Week 1
Bedside Table Week 8
Bedside Table Week 16</x:v>
      </x:c>
      <x:c r="E26" s="451" t="str">
        <x:v>Breadboard Week 5: Begin completing laser-cut patterns. Biscuit join ends to the main board.
Breadboard Week 10: Present Project and Booklet for marking. Workshop maintenance.
Clock Week 1: Mark, cut and dress front and back.
Clock Week 10: Workshop Maintenance.
Pen Week 1: Demonstration of turning. Practice on scrap.
Pen Week 2: Work on and complete pen.
Tool Carry-all Week 12: SWMS for tool carry all.
Mirror Week 1: Introduction and Workshop Safety. Constraints and limitations.
Mirror Week 8: Dry Clamping. Work Method Statements and SOP's.
Mirror Week 16: Polishing. Sustainability
Bedside Table Week 1: Introduction. OHS and Risk Management.
Bedside Table Week 8: Dry Clamping. Work Method Statements and SOP's
Bedside Table Week 16: Polishing. Sustainability and Environmental Impact</x:v>
      </x:c>
      <x:c r="F26" s="451" t="str">
        <x:v>Breadboard Week 5: Theory: Discussion Joining techniques Workbook/Folio Joinery Research Practical: Demonstrate / Observe: Dry fitting using sash cramps. Glue and Clamping process | Resource: Google Classroom - Week 5
Breadboard Week 10: Theory: Workbook/Folio Research timber types and features Practical: Demonstrate / Observe: Workshop maintenance and clean up | Resource: Google Classroom - Week 10
Clock Week 1: Theory: Onguard topics and quiz's Reinforce the safe use of machines. Refresh the importance of PPE Discussion: Workbook/Folio: Design Constraints SOP for Using the large Forstner Bit. Practical: Demonstrate / Observe: Mark out lengths Apply face marks. Cut timber to length | Resource: Google Classroom - Week 1
Clock Week 10: Theory: Discussion: The importance of good workshop maintenance Practical: Demonstrate / Observe: Manual handling Techniques | Resource: Google Classroom - Week 10
Pen Week 1: Theory: Discussion: Types of uses for the Wood Lathe Workbook/Folio: Risk management for using the Lathe Practical: Demonstrate / Observe: Setup and demonstrate turning techniques. Simple scraping and cutting between centres Sanding and finishing on the lathe Turn a timber pen - Start to finish | Resource: No resource location stated in source row.
Pen Week 2: Demonstrate / Observe: Setup for turning. Simple scraping and cutting between centres - Techniques Sanding and finishing on the lathe Turn a timber pen - Start to finish | Resource: No resource location stated in source row.
Tool Carry-all Week 12: Theory: Workbook/Folio: Sequencing exercise Safe Work Method Statement Practical: Demonstrate / Observe: Dry assembly glue and clamping process checking for square | Resource: No resource location stated in source row.
Mirror Week 1: Theory: Discussion: Refresh Onguard Topics and Quiz's Reinforce the safe use of machines. Refresh the importance of PPE Workbook/Folio: Design brief, constraints and considerations General Workshop Safety Sheet Practical: Demonstrate / Observe: Refresh - Measure, mark and cut a rebate and housing joint. | Resource: No resource location stated in source row.
Mirror Week 8: Theory: Discussion: The importance of dry clamping and checking for square Workbook/Folio: WMS for the mirror Practical: Demonstrate / Observe: Dry clamping and adjusting for square. | Resource: No resource location stated in source row.
Mirror Week 16: Theory: Discussion: The purposes of Timber polishes Practical: Demonstrate / Observe: Ongoing safe workshop procedures | Resource: No resource location stated in source row.
Bedside Table Week 1: Theory: Discussion: Refresh Onguard Topics and Quiz's Reinforce the safe use of machines. Refresh the importance of PPE Workbook/Folio: General Workshop Safety Sheet - Refresh Purpose of the table and design Input Practical: Demonstrate / Observe: Refresh - Measure, mark and cut a mortice and tenon joint | Resource: No resource location stated in source row.
Bedside Table Week 8: Theory: Discussion: Refresh The importance of dry clamping and checking for square Workbook/Folio: WMS for the bedside table Practical: Demonstrate / Observe: Dry clamping and adjusting for square. | Resource: No resource location stated in source row.
Bedside Table Week 16: Theory: Discussion: Refresh The purposes of timber polishes Practical: Demonstrate / Observe: Ongoing safe workshop procedures | Resource: No resource location stated in source row.</x:v>
      </x:c>
      <x:c r="G26" s="451" t="str">
        <x:v>Breadboard: Project Evidence row 5
Clock: Project Evidence row 7
Pen: SCOPE-01; no Project Evidence row
Tool Carry-all: Project Evidence row 8
Mirror: Project Evidence row 9
Bedside Table: Project Evidence row 10</x:v>
      </x:c>
      <x:c r="H26" s="475" t="str">
        <x:v>Mapped</x:v>
      </x:c>
      <x:c r="I26" s="451" t="str">
        <x:v>stage_5_timber_2021-06-16.docx, table 12, row 5
stage_5_timber_2021-06-16.docx, table 12, row 10
stage_5_timber_2021-06-16.docx, table 18, row 1
stage_5_timber_2021-06-16.docx, table 18, row 10
stage_5_timber_2021-06-16.docx, table 24, row 1
stage_5_timber_2021-06-16.docx, table 24, row 2
stage_5_timber_2021-06-16.docx, table 30, row 12
stage_5_timber_2021-06-16.docx, table 36, row 1
stage_5_timber_2021-06-16.docx, table 36, row 8
stage_5_timber_2021-06-16.docx, table 36, row 16
stage_5_timber_2021-06-16.docx, table 42, row 1
stage_5_timber_2021-06-16.docx, table 42, row 8
stage_5_timber_2021-06-16.docx, table 42, row 16</x:v>
      </x:c>
      <x:c r="J26" s="452" t="str">
        <x:v>Not applicable</x:v>
      </x:c>
    </x:row>
    <x:row r="27" ht="129.60000610351562" hidden="0" customHeight="1">
      <x:c r="A27" s="466" t="str">
        <x:v>CP012</x:v>
      </x:c>
      <x:c r="B27" s="451" t="str">
        <x:v>identify and use a variety of joining methods, for example:</x:v>
      </x:c>
      <x:c r="C27" s="451" t="str">
        <x:v>adhesives/glue
nails/screws</x:v>
      </x:c>
      <x:c r="D27" s="451" t="str">
        <x:v>Breadboard Week 5
Clock Week 5
Clock Week 6
Tool Carry-all Week 11</x:v>
      </x:c>
      <x:c r="E27" s="451" t="str">
        <x:v>Breadboard Week 5: Begin completing laser-cut patterns. Biscuit join ends to the main board.
Clock Week 5: Mark, cut and plane chamfer top and bottom of clock and glue to body.
Clock Week 6: Timber seasoning documentary and exercise. Assemble Carcass.
Tool Carry-all Week 11: Assembly of tool carry-all</x:v>
      </x:c>
      <x:c r="F27" s="451" t="str">
        <x:v>Breadboard Week 5: Theory: Discussion Joining techniques Workbook/Folio Joinery Research Practical: Demonstrate / Observe: Dry fitting using sash cramps. Glue and Clamping process | Resource: Google Classroom - Week 5
Clock Week 5: Theory: Discussion: Discuss correct grain direction. Workbook/Folio: Drill/Turning Processes Practical: Demonstrate / Observe: Dry fit and glue carcass. Test for square. Set out and plane back. Design top and bottom. | Resource: Google Classroom - Week 5
Clock Week 6: Theory: Discussion: Design of ‘secret’ draw. Workbook/Folio: Research Types of hand planes and their uses Practical: Demonstrate / Observe: Plane Carcass flat and square. Position and glue clock face. | Resource: Google Classroom - Week 6
Tool Carry-all Week 11: Theory: Discussion: The importance of dry assembly and checking for square. Workbook/Folio: Nails and Glues worksheets Practical: Demonstrate / Observe: Dry assembly glue and clamping process checking for square | Resource: No resource location stated in source row.</x:v>
      </x:c>
      <x:c r="G27" s="451" t="str">
        <x:v>Breadboard: Project Evidence row 5
Clock: Project Evidence row 7
Tool Carry-all: Project Evidence row 8</x:v>
      </x:c>
      <x:c r="H27" s="475" t="str">
        <x:v>Mapped</x:v>
      </x:c>
      <x:c r="I27" s="451" t="str">
        <x:v>stage_5_timber_2021-06-16.docx, table 12, row 5
stage_5_timber_2021-06-16.docx, table 18, row 5
stage_5_timber_2021-06-16.docx, table 18, row 6
stage_5_timber_2021-06-16.docx, table 30, row 11</x:v>
      </x:c>
      <x:c r="J27" s="452" t="str">
        <x:v>Not applicable</x:v>
      </x:c>
    </x:row>
    <x:row r="28" ht="129.60000610351562" hidden="0" customHeight="1">
      <x:c r="A28" s="466" t="str">
        <x:v>CP013</x:v>
      </x:c>
      <x:c r="B28" s="451" t="str">
        <x:v>apply the principles of risk management, for example:</x:v>
      </x:c>
      <x:c r="C28" s="451" t="str">
        <x:v>identify a particular risk and implement risk-reduction procedures
hierarchies of control</x:v>
      </x:c>
      <x:c r="D28" s="451" t="str">
        <x:v>Breadboard Week 6
Clock Week 3
Clock Week 11
Tool Carry-all Week 12</x:v>
      </x:c>
      <x:c r="E28" s="451" t="str">
        <x:v>Breadboard Week 6: Demonstration on how to use the router. Onguard test. Router edges.
Clock Week 3: Timber Properties and workshop drawings.
Clock Week 11: Complete SWMS for clock.
Tool Carry-all Week 12: SWMS for tool carry all.</x:v>
      </x:c>
      <x:c r="F28" s="451" t="str">
        <x:v>Breadboard Week 6: Theory: Onguard topics and quiz's Router - Corded/Electric (WOODTech) Discussion Types of router bits and design options Workbook/Folio Router profile sheet Practical: Demonstrate / Observe: The use of a router to cut a profile | Resource: Google Classroom - Week 6
Clock Week 3: Theory: Discussion: Timber properties and Characteristics Workbook/Folio: Isometric Drawing Orthogonal drawing. WMS. Practical: Demonstrate / Observe: Reinforce proper hand tool use. Continue on with rebates. Reinforce the significance of accuracy to plan. Start front and back pieces. | Resource: Google Classroom - Week 3
Clock Week 11: Theory: Workbook/Folio: Sequencing exercise Safe Work Method Statement | Resource: No resource location stated in source row.
Tool Carry-all Week 12: Theory: Workbook/Folio: Sequencing exercise Safe Work Method Statement Practical: Demonstrate / Observe: Dry assembly glue and clamping process checking for square | Resource: No resource location stated in source row.</x:v>
      </x:c>
      <x:c r="G28" s="451" t="str">
        <x:v>Breadboard: Project Evidence row 5
Clock: Project Evidence row 7
Tool Carry-all: Project Evidence row 8</x:v>
      </x:c>
      <x:c r="H28" s="475" t="str">
        <x:v>Mapped</x:v>
      </x:c>
      <x:c r="I28" s="451" t="str">
        <x:v>stage_5_timber_2021-06-16.docx, table 12, row 6
stage_5_timber_2021-06-16.docx, table 18, row 3
stage_5_timber_2021-06-16.docx, table 18, row 11
stage_5_timber_2021-06-16.docx, table 30, row 12</x:v>
      </x:c>
      <x:c r="J28" s="452" t="str">
        <x:v>Not applicable</x:v>
      </x:c>
    </x:row>
    <x:row r="29" ht="86.4000015258789" hidden="0" customHeight="1">
      <x:c r="A29" s="466" t="str">
        <x:v>CP014</x:v>
      </x:c>
      <x:c r="B29" s="451" t="str">
        <x:v>identify reasons for preparing surfaces and applying timber finishes</x:v>
      </x:c>
      <x:c r="C29" s="451" t="str">
        <x:v>Not stated in source.</x:v>
      </x:c>
      <x:c r="D29" s="451" t="str">
        <x:v>Breadboard Week 7
Clock Week 12
Tool Carry-all Week 13</x:v>
      </x:c>
      <x:c r="E29" s="451" t="str">
        <x:v>Breadboard Week 7: Patterns must be finished by this week. Sand and prep for finishing.
Clock Week 12: Sand and prep clock for finishing.
Tool Carry-all Week 13: Sand and Prep project for finishing. Timber finishing and prep research.</x:v>
      </x:c>
      <x:c r="F29" s="451" t="str">
        <x:v>Breadboard Week 7: Theory: Discussion - Types of abrasive material used for surface preparation Workbook/Folio Research Timber Seasoning Practical: Demonstrate / Observe: Sanding Techniques | Resource: Google Classroom - Week 7
Clock Week 12: Practical: Demonstrate / Observe: Sanding and finishing Techniques | Resource: No resource location stated in source row.
Tool Carry-all Week 13: Theory: Discussion: Sanding and prep' techniques Different types of finishes Workbook/Folio: Finishing methods worksheet Practical: Demonstrate / Observe: Preparing surfaces for finishing Apply finishes | Resource: No resource location stated in source row.</x:v>
      </x:c>
      <x:c r="G29" s="451" t="str">
        <x:v>Breadboard: Project Evidence row 5
Clock: Project Evidence row 7
Tool Carry-all: Project Evidence row 8</x:v>
      </x:c>
      <x:c r="H29" s="475" t="str">
        <x:v>Mapped</x:v>
      </x:c>
      <x:c r="I29" s="451" t="str">
        <x:v>stage_5_timber_2021-06-16.docx, table 12, row 7
stage_5_timber_2021-06-16.docx, table 18, row 12
stage_5_timber_2021-06-16.docx, table 30, row 13</x:v>
      </x:c>
      <x:c r="J29" s="452" t="str">
        <x:v>Not applicable</x:v>
      </x:c>
    </x:row>
    <x:row r="30" ht="64.80000305175781" hidden="0" customHeight="1">
      <x:c r="A30" s="466" t="str">
        <x:v>CP015</x:v>
      </x:c>
      <x:c r="B30" s="451" t="str">
        <x:v>investigate timber conversion and seasoning processes, for example:</x:v>
      </x:c>
      <x:c r="C30" s="451" t="str">
        <x:v>compare the advantages and disadvantages of air and kiln seasoning
outline and apply the appropriate method of stacking cut timber for seasoning and storage</x:v>
      </x:c>
      <x:c r="D30" s="451" t="str">
        <x:v>Breadboard Week 7
Clock Week 6</x:v>
      </x:c>
      <x:c r="E30" s="451" t="str">
        <x:v>Breadboard Week 7: Patterns must be finished by this week. Sand and prep for finishing.
Clock Week 6: Timber seasoning documentary and exercise. Assemble Carcass.</x:v>
      </x:c>
      <x:c r="F30" s="451" t="str">
        <x:v>Breadboard Week 7: Theory: Discussion - Types of abrasive material used for surface preparation Workbook/Folio Research Timber Seasoning Practical: Demonstrate / Observe: Sanding Techniques | Resource: Google Classroom - Week 7
Clock Week 6: Theory: Discussion: Design of ‘secret’ draw. Workbook/Folio: Research Types of hand planes and their uses Practical: Demonstrate / Observe: Plane Carcass flat and square. Position and glue clock face. | Resource: Google Classroom - Week 6</x:v>
      </x:c>
      <x:c r="G30" s="451" t="str">
        <x:v>Breadboard: Project Evidence row 5
Clock: Project Evidence row 7</x:v>
      </x:c>
      <x:c r="H30" s="475" t="str">
        <x:v>Mapped</x:v>
      </x:c>
      <x:c r="I30" s="451" t="str">
        <x:v>stage_5_timber_2021-06-16.docx, table 12, row 7
stage_5_timber_2021-06-16.docx, table 18, row 6</x:v>
      </x:c>
      <x:c r="J30" s="452" t="str">
        <x:v>Not applicable</x:v>
      </x:c>
    </x:row>
    <x:row r="31" ht="108" hidden="0" customHeight="1">
      <x:c r="A31" s="466" t="str">
        <x:v>CP016</x:v>
      </x:c>
      <x:c r="B31" s="451" t="str">
        <x:v>describe a range of timber finishes and their applications, for example:</x:v>
      </x:c>
      <x:c r="C31" s="451" t="str">
        <x:v>clear finishes
oils</x:v>
      </x:c>
      <x:c r="D31" s="451" t="str">
        <x:v>Breadboard Week 8
Clock Week 13
Tool Carry-all Week 13</x:v>
      </x:c>
      <x:c r="E31" s="451" t="str">
        <x:v>Breadboard Week 8: Oil timber. Once complete students complete SWMS.
Clock Week 13: Oil Project - Self-evaluation of project.
Tool Carry-all Week 13: Sand and Prep project for finishing. Timber finishing and prep research.</x:v>
      </x:c>
      <x:c r="F31" s="451" t="str">
        <x:v>Breadboard Week 8: Theory: Onguard topics and quiz's Finishing Materials (BasicWorkshop) Discussion: Different types of methods used for finishing timber. Workbook/Folio Research - Environmental Sustainability Practical: Demonstrate / Observe: Finishing Technique - Using Danish Oil | Resource: Google Classroom - Week 8
Clock Week 13: Theory: Discussion: Different types of Finishing Techniques Workbook/Folio: Self Evaluation Practical: Demonstrate / Observe: Oiling Techniques | Resource: No resource location stated in source row.
Tool Carry-all Week 13: Theory: Discussion: Sanding and prep' techniques Different types of finishes Workbook/Folio: Finishing methods worksheet Practical: Demonstrate / Observe: Preparing surfaces for finishing Apply finishes | Resource: No resource location stated in source row.</x:v>
      </x:c>
      <x:c r="G31" s="451" t="str">
        <x:v>Breadboard: Project Evidence row 5
Clock: Project Evidence row 7
Tool Carry-all: Project Evidence row 8</x:v>
      </x:c>
      <x:c r="H31" s="475" t="str">
        <x:v>Mapped</x:v>
      </x:c>
      <x:c r="I31" s="451" t="str">
        <x:v>stage_5_timber_2021-06-16.docx, table 12, row 8
stage_5_timber_2021-06-16.docx, table 18, row 13
stage_5_timber_2021-06-16.docx, table 30, row 13</x:v>
      </x:c>
      <x:c r="J31" s="452" t="str">
        <x:v>Not applicable</x:v>
      </x:c>
    </x:row>
    <x:row r="32" ht="108" hidden="0" customHeight="1">
      <x:c r="A32" s="466" t="str">
        <x:v>CP017</x:v>
      </x:c>
      <x:c r="B32" s="451" t="str">
        <x:v>apply a range of processes and techniques for finishing timber, for example:</x:v>
      </x:c>
      <x:c r="C32" s="451" t="str">
        <x:v>applying an oil finish</x:v>
      </x:c>
      <x:c r="D32" s="451" t="str">
        <x:v>Breadboard Week 8
Clock Week 13
Tool Carry-all Week 13</x:v>
      </x:c>
      <x:c r="E32" s="451" t="str">
        <x:v>Breadboard Week 8: Oil timber. Once complete students complete SWMS.
Clock Week 13: Oil Project - Self-evaluation of project.
Tool Carry-all Week 13: Sand and Prep project for finishing. Timber finishing and prep research.</x:v>
      </x:c>
      <x:c r="F32" s="451" t="str">
        <x:v>Breadboard Week 8: Theory: Onguard topics and quiz's Finishing Materials (BasicWorkshop) Discussion: Different types of methods used for finishing timber. Workbook/Folio Research - Environmental Sustainability Practical: Demonstrate / Observe: Finishing Technique - Using Danish Oil | Resource: Google Classroom - Week 8
Clock Week 13: Theory: Discussion: Different types of Finishing Techniques Workbook/Folio: Self Evaluation Practical: Demonstrate / Observe: Oiling Techniques | Resource: No resource location stated in source row.
Tool Carry-all Week 13: Theory: Discussion: Sanding and prep' techniques Different types of finishes Workbook/Folio: Finishing methods worksheet Practical: Demonstrate / Observe: Preparing surfaces for finishing Apply finishes | Resource: No resource location stated in source row.</x:v>
      </x:c>
      <x:c r="G32" s="451" t="str">
        <x:v>Breadboard: Project Evidence row 5
Clock: Project Evidence row 7
Tool Carry-all: Project Evidence row 8</x:v>
      </x:c>
      <x:c r="H32" s="475" t="str">
        <x:v>Mapped</x:v>
      </x:c>
      <x:c r="I32" s="451" t="str">
        <x:v>stage_5_timber_2021-06-16.docx, table 12, row 8
stage_5_timber_2021-06-16.docx, table 18, row 13
stage_5_timber_2021-06-16.docx, table 30, row 13</x:v>
      </x:c>
      <x:c r="J32" s="452" t="str">
        <x:v>Not applicable</x:v>
      </x:c>
    </x:row>
    <x:row r="33" ht="75.5999984741211" hidden="0" customHeight="1">
      <x:c r="A33" s="466" t="str">
        <x:v>CP018</x:v>
      </x:c>
      <x:c r="B33" s="451" t="str">
        <x:v>identify renewable and non-renewable resources in the timber industry</x:v>
      </x:c>
      <x:c r="C33" s="451" t="str">
        <x:v>Not stated in source.</x:v>
      </x:c>
      <x:c r="D33" s="451" t="str">
        <x:v>Breadboard Week 8
Clock Week 7</x:v>
      </x:c>
      <x:c r="E33" s="451" t="str">
        <x:v>Breadboard Week 8: Oil timber. Once complete students complete SWMS.
Clock Week 7: Mark and cut rebates for drawer. Mark, cut and plane sides.</x:v>
      </x:c>
      <x:c r="F33" s="451" t="str">
        <x:v>Breadboard Week 8: Theory: Onguard topics and quiz's Finishing Materials (BasicWorkshop) Discussion: Different types of methods used for finishing timber. Workbook/Folio Research - Environmental Sustainability Practical: Demonstrate / Observe: Finishing Technique - Using Danish Oil | Resource: Google Classroom - Week 8
Clock Week 7: Theory: Discussion: Possible environmental impact through production of such products. Practical: Demonstrate / Observe: Cut out ‘secret drawer’. Route 6mm chamfer around inside of dial | Resource: Google Classroom - Week 7</x:v>
      </x:c>
      <x:c r="G33" s="451" t="str">
        <x:v>Breadboard: Project Evidence row 5
Clock: Project Evidence row 7</x:v>
      </x:c>
      <x:c r="H33" s="475" t="str">
        <x:v>Mapped</x:v>
      </x:c>
      <x:c r="I33" s="451" t="str">
        <x:v>stage_5_timber_2021-06-16.docx, table 12, row 8
stage_5_timber_2021-06-16.docx, table 18, row 7</x:v>
      </x:c>
      <x:c r="J33" s="452" t="str">
        <x:v>Not applicable</x:v>
      </x:c>
    </x:row>
    <x:row r="34" ht="75.5999984741211" hidden="0" customHeight="1">
      <x:c r="A34" s="466" t="str">
        <x:v>CP019</x:v>
      </x:c>
      <x:c r="B34" s="451" t="str">
        <x:v>recognise the importance of conservation of materials and recycling in the timber industry, for example:</x:v>
      </x:c>
      <x:c r="C34" s="451" t="str">
        <x:v>the use of plantation timbers in the production of manufactured boards
recycling of timbers, eg beams from old warehouses</x:v>
      </x:c>
      <x:c r="D34" s="451" t="str">
        <x:v>Breadboard Week 8
Clock Week 7</x:v>
      </x:c>
      <x:c r="E34" s="451" t="str">
        <x:v>Breadboard Week 8: Oil timber. Once complete students complete SWMS.
Clock Week 7: Mark and cut rebates for drawer. Mark, cut and plane sides.</x:v>
      </x:c>
      <x:c r="F34" s="451" t="str">
        <x:v>Breadboard Week 8: Theory: Onguard topics and quiz's Finishing Materials (BasicWorkshop) Discussion: Different types of methods used for finishing timber. Workbook/Folio Research - Environmental Sustainability Practical: Demonstrate / Observe: Finishing Technique - Using Danish Oil | Resource: Google Classroom - Week 8
Clock Week 7: Theory: Discussion: Possible environmental impact through production of such products. Practical: Demonstrate / Observe: Cut out ‘secret drawer’. Route 6mm chamfer around inside of dial | Resource: Google Classroom - Week 7</x:v>
      </x:c>
      <x:c r="G34" s="451" t="str">
        <x:v>Breadboard: Project Evidence row 5
Clock: Project Evidence row 7</x:v>
      </x:c>
      <x:c r="H34" s="475" t="str">
        <x:v>Mapped</x:v>
      </x:c>
      <x:c r="I34" s="451" t="str">
        <x:v>stage_5_timber_2021-06-16.docx, table 12, row 8
stage_5_timber_2021-06-16.docx, table 18, row 7</x:v>
      </x:c>
      <x:c r="J34" s="452" t="str">
        <x:v>Not applicable</x:v>
      </x:c>
    </x:row>
    <x:row r="35" ht="75.5999984741211" hidden="0" customHeight="1">
      <x:c r="A35" s="466" t="str">
        <x:v>CP020</x:v>
      </x:c>
      <x:c r="B35" s="451" t="str">
        <x:v>select and use specialist terminology in context, for example:</x:v>
      </x:c>
      <x:c r="C35" s="451" t="str">
        <x:v>procedure/record of production
glossary
procedure/storyboard
record of production</x:v>
      </x:c>
      <x:c r="D35" s="451" t="str">
        <x:v>Breadboard Week 9
Mirror Week 18
Bedside Table Week 18</x:v>
      </x:c>
      <x:c r="E35" s="451" t="str">
        <x:v>Breadboard Week 9: Self-evaluation of completed work.
Mirror Week 18: Class Test
Bedside Table Week 18: Class Test</x:v>
      </x:c>
      <x:c r="F35" s="451" t="str">
        <x:v>Breadboard Week 9: Theory: Discussion The importance of self-evaluation Workbook/Folio Create a Safe Work Method Statement Self Evaluation of completed project Research - Terms | Resource: Google Classroom - Week 9
Mirror Week 18: Theory: Workbook/Folio: Class Test Practical: Demonstrate / Observe: Ongoing safe workshop procedures | Resource: No resource location stated in source row.
Bedside Table Week 18: Theory: Workbook/Folio: Class Test Practical: Demonstrate / Observe: Ongoing safe workshop procedures | Resource: No resource location stated in source row.</x:v>
      </x:c>
      <x:c r="G35" s="451" t="str">
        <x:v>Breadboard: Project Evidence row 5
Mirror: Project Evidence row 9
Bedside Table: Project Evidence row 10</x:v>
      </x:c>
      <x:c r="H35" s="475" t="str">
        <x:v>Mapped</x:v>
      </x:c>
      <x:c r="I35" s="451" t="str">
        <x:v>stage_5_timber_2021-06-16.docx, table 12, row 9
stage_5_timber_2021-06-16.docx, table 36, row 18
stage_5_timber_2021-06-16.docx, table 42, row 18</x:v>
      </x:c>
      <x:c r="J35" s="452" t="str">
        <x:v>Not applicable</x:v>
      </x:c>
    </x:row>
    <x:row r="36" ht="194.39999389648438" hidden="0" customHeight="1">
      <x:c r="A36" s="466" t="str">
        <x:v>CP021</x:v>
      </x:c>
      <x:c r="B36" s="451" t="str">
        <x:v>apply project management techniques and follow a planned sequence through to project completion</x:v>
      </x:c>
      <x:c r="C36" s="451" t="str">
        <x:v>Not stated in source.</x:v>
      </x:c>
      <x:c r="D36" s="451" t="str">
        <x:v>Breadboard Week 9
Clock Week 3
Clock Week 11
Mirror Week 3
Bedside Table Week 3
Bedside Table Week 12</x:v>
      </x:c>
      <x:c r="E36" s="451" t="str">
        <x:v>Breadboard Week 9: Self-evaluation of completed work.
Clock Week 3: Timber Properties and workshop drawings.
Clock Week 11: Complete SWMS for clock.
Mirror Week 3: Dress and prepare timber to size. Function of the Plane. Project Management
Bedside Table Week 3: Dress and prepare timber to size. DAR - FEWTEL
Bedside Table Week 12: Assemble / Gluing. Sequencing and Time planning</x:v>
      </x:c>
      <x:c r="F36" s="451" t="str">
        <x:v>Breadboard Week 9: Theory: Discussion The importance of self-evaluation Workbook/Folio Create a Safe Work Method Statement Self Evaluation of completed project Research - Terms | Resource: Google Classroom - Week 9
Clock Week 3: Theory: Discussion: Timber properties and Characteristics Workbook/Folio: Isometric Drawing Orthogonal drawing. WMS. Practical: Demonstrate / Observe: Reinforce proper hand tool use. Continue on with rebates. Reinforce the significance of accuracy to plan. Start front and back pieces. | Resource: Google Classroom - Week 3
Clock Week 11: Theory: Workbook/Folio: Sequencing exercise Safe Work Method Statement | Resource: No resource location stated in source row.
Mirror Week 3: Theory: Discussion: Refresh FEWTEL. DAR Workbook/Folio: Sketch out design ideas (Cont') Modification of existing plans Practical: Demonstrate / Observe: The use of the handplane / Thicknesser Checking for square face/side | Resource: No resource location stated in source row.
Bedside Table Week 3: Theory: Discussion: Refresh FEWTEL. DAR Workbook/Folio: Sketch out design ideas (Cont') Modification of existing plans Practical: Demonstrate / Observe: Refresh The use of the handplane / Thicknesser | Resource: No resource location stated in source row.
Bedside Table Week 12: Discussion: Refresh Gluing and clamping - assembly and clamping times Workbook/Folio: Sequencing and time-planning exercise - Gantt Chart Practical: Demonstrate / Observe: Glueing and clamping processes | Resource: No resource location stated in source row.</x:v>
      </x:c>
      <x:c r="G36" s="451" t="str">
        <x:v>Breadboard: Project Evidence row 5
Clock: Project Evidence row 7
Mirror: Project Evidence row 9
Bedside Table: Project Evidence row 10</x:v>
      </x:c>
      <x:c r="H36" s="475" t="str">
        <x:v>Mapped</x:v>
      </x:c>
      <x:c r="I36" s="451" t="str">
        <x:v>stage_5_timber_2021-06-16.docx, table 12, row 9
stage_5_timber_2021-06-16.docx, table 18, row 3
stage_5_timber_2021-06-16.docx, table 18, row 11
stage_5_timber_2021-06-16.docx, table 36, row 3
stage_5_timber_2021-06-16.docx, table 42, row 3
stage_5_timber_2021-06-16.docx, table 42, row 12</x:v>
      </x:c>
      <x:c r="J36" s="452" t="str">
        <x:v>Not applicable</x:v>
      </x:c>
    </x:row>
    <x:row r="37" ht="226.8000030517578" hidden="0" customHeight="1">
      <x:c r="A37" s="466" t="str">
        <x:v>CP022</x:v>
      </x:c>
      <x:c r="B37" s="451" t="str">
        <x:v>evaluate the impact of design and work practices/processes on the quality of finished projects</x:v>
      </x:c>
      <x:c r="C37" s="451" t="str">
        <x:v>Not stated in source.</x:v>
      </x:c>
      <x:c r="D37" s="451" t="str">
        <x:v>Breadboard Week 9
Clock Week 9
Clock Week 14
Clock Week 15
Tool Carry-all Week 14
Mirror Week 17
Bedside Table Week 17</x:v>
      </x:c>
      <x:c r="E37" s="451" t="str">
        <x:v>Breadboard Week 9: Self-evaluation of completed work.
Clock Week 9: Assemble drawer - Properties of timber exercise.
Clock Week 14: Class Test and Feedback
Clock Week 15: Hand in project and workbook for marking.
Tool Carry-all Week 14: Finish job and complete self evaluation.
Mirror Week 17: Port Folio Presentation and Evaluation.
Bedside Table Week 17: Port Folio Presentation and Assessment</x:v>
      </x:c>
      <x:c r="F37" s="451" t="str">
        <x:v>Breadboard Week 9: Theory: Discussion The importance of self-evaluation Workbook/Folio Create a Safe Work Method Statement Self Evaluation of completed project Research - Terms | Resource: Google Classroom - Week 9
Clock Week 9: Theory: Discussion: Possible ways to improve project. Practical: Demonstrate / Observe: Plane and fit drawer for Carcass. | Resource: Google Classroom - Week 9
Clock Week 14: Theory: Discussion: What has been the success/failures during this unit Workbook/Folio: Class Test Student Feedback Sheet Hand in Project and Folio for marking Practical: Demonstrate / Observe: Oiling Techniques | Resource: No resource location stated in source row.
Clock Week 15: Theory: Discussion: (Cont') What has been the success/failures during this unit Workbook/Folio: (Cont') Class Test Student Feedback Sheet Hand in Project and Folio for marking Practical: Demonstrate / Observe: (Cont') Oiling Techniques | Resource: No resource location stated in source row.
Tool Carry-all Week 14: Theory: Discussion: Sanding and prep' techniques Different types of finishes Workbook/Folio: Finishing methods worksheet Practical: Demonstrate / Observe: Preparing surfaces for finishing Apply finishes | Resource: No resource location stated in source row.
Mirror Week 17: Theory: Discussion: Presentation Techniques Workbook/Folio: Evaluation of completed projects Practical: Demonstrate / Observe: Ongoing safe workshop procedures | Resource: No resource location stated in source row.
Bedside Table Week 17: Theory: Discussion: Presentation Techniques Workbook/Folio: Evaluation of completed projects Practical: Demonstrate / Observe: Ongoing safe workshop procedures | Resource: No resource location stated in source row.</x:v>
      </x:c>
      <x:c r="G37" s="451" t="str">
        <x:v>Breadboard: Project Evidence row 5
Clock: Project Evidence row 7
Tool Carry-all: Project Evidence row 8
Mirror: Project Evidence row 9
Bedside Table: Project Evidence row 10</x:v>
      </x:c>
      <x:c r="H37" s="475" t="str">
        <x:v>Mapped</x:v>
      </x:c>
      <x:c r="I37" s="451" t="str">
        <x:v>stage_5_timber_2021-06-16.docx, table 12, row 9
stage_5_timber_2021-06-16.docx, table 18, row 9
stage_5_timber_2021-06-16.docx, table 18, row 14
stage_5_timber_2021-06-16.docx, table 18, row 15
stage_5_timber_2021-06-16.docx, table 30, row 14
stage_5_timber_2021-06-16.docx, table 36, row 17
stage_5_timber_2021-06-16.docx, table 42, row 17</x:v>
      </x:c>
      <x:c r="J37" s="452" t="str">
        <x:v>Not applicable</x:v>
      </x:c>
    </x:row>
    <x:row r="38" ht="259.20001220703125" hidden="0" customHeight="1">
      <x:c r="A38" s="466" t="str">
        <x:v>CP023</x:v>
      </x:c>
      <x:c r="B38" s="451" t="str">
        <x:v>prepare design and production folios to describe the management and processes undertaken in the production of practical projects</x:v>
      </x:c>
      <x:c r="C38" s="451" t="str">
        <x:v>Not stated in source.</x:v>
      </x:c>
      <x:c r="D38" s="451" t="str">
        <x:v>Breadboard Week 10
Clock Week 14
Clock Week 15
Mirror Week 2
Mirror Week 17
Bedside Table Week 2
Bedside Table Week 17</x:v>
      </x:c>
      <x:c r="E38" s="451" t="str">
        <x:v>Breadboard Week 10: Present Project and Booklet for marking. Workshop maintenance.
Clock Week 14: Class Test and Feedback
Clock Week 15: Hand in project and workbook for marking.
Mirror Week 2: Design and sketches. Measure and Mark-out. Safe use of Tools and Equipment.
Mirror Week 17: Port Folio Presentation and Evaluation.
Bedside Table Week 2: Design and sketches. Measure and Mark-out.
Bedside Table Week 17: Port Folio Presentation and Assessment</x:v>
      </x:c>
      <x:c r="F38" s="451" t="str">
        <x:v>Breadboard Week 10: Theory: Workbook/Folio Research timber types and features Practical: Demonstrate / Observe: Workshop maintenance and clean up | Resource: Google Classroom - Week 10
Clock Week 14: Theory: Discussion: What has been the success/failures during this unit Workbook/Folio: Class Test Student Feedback Sheet Hand in Project and Folio for marking Practical: Demonstrate / Observe: Oiling Techniques | Resource: No resource location stated in source row.
Clock Week 15: Theory: Discussion: (Cont') What has been the success/failures during this unit Workbook/Folio: (Cont') Class Test Student Feedback Sheet Hand in Project and Folio for marking Practical: Demonstrate / Observe: (Cont') Oiling Techniques | Resource: No resource location stated in source row.
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Mirror Week 17: Theory: Discussion: Presentation Techniques Workbook/Folio: Evaluation of completed projects Practical: Demonstrate / Observe: Ongoing safe workshop procedures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
Bedside Table Week 17: Theory: Discussion: Presentation Techniques Workbook/Folio: Evaluation of completed projects Practical: Demonstrate / Observe: Ongoing safe workshop procedures | Resource: No resource location stated in source row.</x:v>
      </x:c>
      <x:c r="G38" s="451" t="str">
        <x:v>Breadboard: Project Evidence row 5
Clock: Project Evidence row 7
Mirror: Project Evidence row 9
Bedside Table: Project Evidence row 10</x:v>
      </x:c>
      <x:c r="H38" s="475" t="str">
        <x:v>Mapped</x:v>
      </x:c>
      <x:c r="I38" s="451" t="str">
        <x:v>stage_5_timber_2021-06-16.docx, table 12, row 10
stage_5_timber_2021-06-16.docx, table 18, row 14
stage_5_timber_2021-06-16.docx, table 18, row 15
stage_5_timber_2021-06-16.docx, table 36, row 2
stage_5_timber_2021-06-16.docx, table 36, row 17
stage_5_timber_2021-06-16.docx, table 42, row 2
stage_5_timber_2021-06-16.docx, table 42, row 17</x:v>
      </x:c>
      <x:c r="J38" s="452" t="str">
        <x:v>Not applicable</x:v>
      </x:c>
    </x:row>
    <x:row r="39" ht="75.5999984741211" hidden="0" customHeight="1">
      <x:c r="A39" s="466" t="str">
        <x:v>CP024</x:v>
      </x:c>
      <x:c r="B39" s="451" t="str">
        <x:v>investigate the structure of trees and how they grow</x:v>
      </x:c>
      <x:c r="C39" s="451" t="str">
        <x:v>Not stated in source.</x:v>
      </x:c>
      <x:c r="D39" s="451" t="str">
        <x:v>Breadboard Week 10
Clock Week 3</x:v>
      </x:c>
      <x:c r="E39" s="451" t="str">
        <x:v>Breadboard Week 10: Present Project and Booklet for marking. Workshop maintenance.
Clock Week 3: Timber Properties and workshop drawings.</x:v>
      </x:c>
      <x:c r="F39" s="451" t="str">
        <x:v>Breadboard Week 10: Theory: Workbook/Folio Research timber types and features Practical: Demonstrate / Observe: Workshop maintenance and clean up | Resource: Google Classroom - Week 10
Clock Week 3: Theory: Discussion: Timber properties and Characteristics Workbook/Folio: Isometric Drawing Orthogonal drawing. WMS. Practical: Demonstrate / Observe: Reinforce proper hand tool use. Continue on with rebates. Reinforce the significance of accuracy to plan. Start front and back pieces. | Resource: Google Classroom - Week 3</x:v>
      </x:c>
      <x:c r="G39" s="451" t="str">
        <x:v>Breadboard: Project Evidence row 5
Clock: Project Evidence row 7</x:v>
      </x:c>
      <x:c r="H39" s="475" t="str">
        <x:v>Mapped</x:v>
      </x:c>
      <x:c r="I39" s="451" t="str">
        <x:v>stage_5_timber_2021-06-16.docx, table 12, row 10
stage_5_timber_2021-06-16.docx, table 18, row 3</x:v>
      </x:c>
      <x:c r="J39" s="452" t="str">
        <x:v>Not applicable</x:v>
      </x:c>
    </x:row>
    <x:row r="40" ht="75.5999984741211" hidden="0" customHeight="1">
      <x:c r="A40" s="466" t="str">
        <x:v>CP025</x:v>
      </x:c>
      <x:c r="B40" s="451" t="str">
        <x:v>describe the differences between hardwoods and softwoods and justify their selection in a range of projects</x:v>
      </x:c>
      <x:c r="C40" s="451" t="str">
        <x:v>Not stated in source.</x:v>
      </x:c>
      <x:c r="D40" s="451" t="str">
        <x:v>Breadboard Week 10
Clock Week 2</x:v>
      </x:c>
      <x:c r="E40" s="451" t="str">
        <x:v>Breadboard Week 10: Present Project and Booklet for marking. Workshop maintenance.
Clock Week 2: Mark, cut and dress sides. Drill front with oversize forstner bit.</x:v>
      </x:c>
      <x:c r="F40" s="451" t="str">
        <x:v>Breadboard Week 10: Theory: Workbook/Folio Research timber types and features Practical: Demonstrate / Observe: Workshop maintenance and clean up | Resource: Google Classroom - Week 10
Clock Week 2: Theory: Discussion: Discuss the working characteristics of Softwoods in contrast to Hardwoods. Workbook/Folio: Joinery Research Hardware Research Cutting List (Paper Version) Practical: Demonstrate / Observe: Cut Rebates (Sides) Grain direction &amp; strength. Chiseling | Resource: Google Classroom - Week 2</x:v>
      </x:c>
      <x:c r="G40" s="451" t="str">
        <x:v>Breadboard: Project Evidence row 5
Clock: Project Evidence row 7</x:v>
      </x:c>
      <x:c r="H40" s="475" t="str">
        <x:v>Mapped</x:v>
      </x:c>
      <x:c r="I40" s="451" t="str">
        <x:v>stage_5_timber_2021-06-16.docx, table 12, row 10
stage_5_timber_2021-06-16.docx, table 18, row 2</x:v>
      </x:c>
      <x:c r="J40" s="452" t="str">
        <x:v>Not applicable</x:v>
      </x:c>
    </x:row>
    <x:row r="41" ht="140.39999389648438" hidden="0" customHeight="1">
      <x:c r="A41" s="466" t="str">
        <x:v>CP026</x:v>
      </x:c>
      <x:c r="B41" s="451" t="str">
        <x:v>accurately cut and prepare materials to size, for example:</x:v>
      </x:c>
      <x:c r="C41" s="451" t="str">
        <x:v>using a tenon saw to cut on waste side of line
cutting curves in timber using a coping saw</x:v>
      </x:c>
      <x:c r="D41" s="451" t="str">
        <x:v>Clock Week 1
Tool Carry-all Week 1
Tool Carry-all Week 3
Tool Carry-all Week 9</x:v>
      </x:c>
      <x:c r="E41" s="451" t="str">
        <x:v>Clock Week 1: Mark, cut and dress front and back.
Tool Carry-all Week 1: Demonstration of how to cut dovetail joint. Students to cut a practice from scrap.
Tool Carry-all Week 3: Mark and cut sides of carry-all. Start cutting box-pin or dovetail.
Tool Carry-all Week 9: Mark, out cut and shape handle.</x:v>
      </x:c>
      <x:c r="F41" s="451" t="str">
        <x:v>Clock Week 1: Theory: Onguard topics and quiz's Reinforce the safe use of machines. Refresh the importance of PPE Discussion: Workbook/Folio: Design Constraints SOP for Using the large Forstner Bit. Practical: Demonstrate / Observe: Mark out lengths Apply face marks. Cut timber to length | Resource: Google Classroom - Week 1
Tool Carry-all Week 1: Theory: Discussion: Refresh Onguard topics and quiz's Reinforce the safe use of machines. Refresh the importance of PPE Workbook/Folio: Materials List Practical: Demonstrate / Observe: Mark out and cut Finger joints / Dovetail joints | Resource: Student Workbook
Tool Carry-all Week 3: Theory: Discussion: Suitable Joints for this project Workbook/Folio: Qualities of Radiata Pine Practical: Demonstrate / Observe: Mark out lengths Apply face marks. Cut timber to length | Resource: No resource location stated in source row.
Tool Carry-all Week 9: Theory: Discussion: The use of templates Workbook/Folio: Handle Designs Practical: Demonstrate / Observe: Mark, cut and shape handle | Resource: No resource location stated in source row.</x:v>
      </x:c>
      <x:c r="G41" s="451" t="str">
        <x:v>Clock: Project Evidence row 7
Tool Carry-all: Project Evidence row 8</x:v>
      </x:c>
      <x:c r="H41" s="475" t="str">
        <x:v>Mapped</x:v>
      </x:c>
      <x:c r="I41" s="451" t="str">
        <x:v>stage_5_timber_2021-06-16.docx, table 18, row 1
stage_5_timber_2021-06-16.docx, table 30, row 1
stage_5_timber_2021-06-16.docx, table 30, row 3
stage_5_timber_2021-06-16.docx, table 30, row 9</x:v>
      </x:c>
      <x:c r="J41" s="452" t="str">
        <x:v>Not applicable</x:v>
      </x:c>
    </x:row>
    <x:row r="42" ht="43.20000076293945" hidden="0" customHeight="1">
      <x:c r="A42" s="466" t="str">
        <x:v>CP027</x:v>
      </x:c>
      <x:c r="B42" s="451" t="str">
        <x:v>read and interpret plans and/or materials lists to prepare materials for the completion of projects, for example:</x:v>
      </x:c>
      <x:c r="C42" s="451" t="str">
        <x:v>workshop drawings of joints</x:v>
      </x:c>
      <x:c r="D42" s="451" t="str">
        <x:v>Clock Week 2</x:v>
      </x:c>
      <x:c r="E42" s="451" t="str">
        <x:v>Clock Week 2: Mark, cut and dress sides. Drill front with oversize forstner bit.</x:v>
      </x:c>
      <x:c r="F42" s="451" t="str">
        <x:v>Clock Week 2: Theory: Discussion: Discuss the working characteristics of Softwoods in contrast to Hardwoods. Workbook/Folio: Joinery Research Hardware Research Cutting List (Paper Version) Practical: Demonstrate / Observe: Cut Rebates (Sides) Grain direction &amp; strength. Chiseling | Resource: Google Classroom - Week 2</x:v>
      </x:c>
      <x:c r="G42" s="451" t="str">
        <x:v>Clock: Project Evidence row 7</x:v>
      </x:c>
      <x:c r="H42" s="475" t="str">
        <x:v>Mapped</x:v>
      </x:c>
      <x:c r="I42" s="451" t="str">
        <x:v>stage_5_timber_2021-06-16.docx, table 18, row 2</x:v>
      </x:c>
      <x:c r="J42" s="452" t="str">
        <x:v>Not applicable</x:v>
      </x:c>
    </x:row>
    <x:row r="43" ht="43.20000076293945" hidden="0" customHeight="1">
      <x:c r="A43" s="466" t="str">
        <x:v>CP028</x:v>
      </x:c>
      <x:c r="B43" s="451" t="str">
        <x:v>investigate the properties and working characteristics of solid timber, for example:</x:v>
      </x:c>
      <x:c r="C43" s="451" t="str">
        <x:v>colour
defects, eg gum veins in Tasmanian oak
density
strength</x:v>
      </x:c>
      <x:c r="D43" s="451" t="str">
        <x:v>Clock Week 3</x:v>
      </x:c>
      <x:c r="E43" s="451" t="str">
        <x:v>Clock Week 3: Timber Properties and workshop drawings.</x:v>
      </x:c>
      <x:c r="F43" s="451" t="str">
        <x:v>Clock Week 3: Theory: Discussion: Timber properties and Characteristics Workbook/Folio: Isometric Drawing Orthogonal drawing. WMS. Practical: Demonstrate / Observe: Reinforce proper hand tool use. Continue on with rebates. Reinforce the significance of accuracy to plan. Start front and back pieces. | Resource: Google Classroom - Week 3</x:v>
      </x:c>
      <x:c r="G43" s="451" t="str">
        <x:v>Clock: Project Evidence row 7</x:v>
      </x:c>
      <x:c r="H43" s="475" t="str">
        <x:v>Mapped</x:v>
      </x:c>
      <x:c r="I43" s="451" t="str">
        <x:v>stage_5_timber_2021-06-16.docx, table 18, row 3</x:v>
      </x:c>
      <x:c r="J43" s="452" t="str">
        <x:v>Not applicable</x:v>
      </x:c>
    </x:row>
    <x:row r="44" ht="43.20000076293945" hidden="0" customHeight="1">
      <x:c r="A44" s="466" t="str">
        <x:v>CP029</x:v>
      </x:c>
      <x:c r="B44" s="451" t="str">
        <x:v>produce freehand sketches of project components and/or projects</x:v>
      </x:c>
      <x:c r="C44" s="451" t="str">
        <x:v>Not stated in source.</x:v>
      </x:c>
      <x:c r="D44" s="451" t="str">
        <x:v>Clock Week 3</x:v>
      </x:c>
      <x:c r="E44" s="451" t="str">
        <x:v>Clock Week 3: Timber Properties and workshop drawings.</x:v>
      </x:c>
      <x:c r="F44" s="451" t="str">
        <x:v>Clock Week 3: Theory: Discussion: Timber properties and Characteristics Workbook/Folio: Isometric Drawing Orthogonal drawing. WMS. Practical: Demonstrate / Observe: Reinforce proper hand tool use. Continue on with rebates. Reinforce the significance of accuracy to plan. Start front and back pieces. | Resource: Google Classroom - Week 3</x:v>
      </x:c>
      <x:c r="G44" s="451" t="str">
        <x:v>Clock: Project Evidence row 7</x:v>
      </x:c>
      <x:c r="H44" s="475" t="str">
        <x:v>Mapped</x:v>
      </x:c>
      <x:c r="I44" s="451" t="str">
        <x:v>stage_5_timber_2021-06-16.docx, table 18, row 3</x:v>
      </x:c>
      <x:c r="J44" s="452" t="str">
        <x:v>Not applicable</x:v>
      </x:c>
    </x:row>
    <x:row r="45" ht="259.20001220703125" hidden="0" customHeight="1">
      <x:c r="A45" s="466" t="str">
        <x:v>CP030</x:v>
      </x:c>
      <x:c r="B45" s="451" t="str">
        <x:v>develop design and production folios using appropriate ICT, for example:</x:v>
      </x:c>
      <x:c r="C45" s="451" t="str">
        <x:v>CAD
project management tools, eg timeline, cutting list</x:v>
      </x:c>
      <x:c r="D45" s="451" t="str">
        <x:v>Clock Week 3
Tool Carry-all Week 7
Tool Carry-all Week 8
Mirror Week 17
Bedside Table Week 9
Bedside Table Week 10
Bedside Table Week 17</x:v>
      </x:c>
      <x:c r="E45" s="451" t="str">
        <x:v>Clock Week 3: Timber Properties and workshop drawings.
Tool Carry-all Week 7: Handle design exercise. Orthogonal drawing exercise.
Tool Carry-all Week 8: Handle design exercise cont'. Orthogonal drawing exercise cont'.
Mirror Week 17: Port Folio Presentation and Evaluation.
Bedside Table Week 9: Adding Design Features. Orthogonal Drawings
Bedside Table Week 10: Adding Design Features. Orthogonal Drawings
Bedside Table Week 17: Port Folio Presentation and Assessment</x:v>
      </x:c>
      <x:c r="F45" s="451" t="str">
        <x:v>Clock Week 3: Theory: Discussion: Timber properties and Characteristics Workbook/Folio: Isometric Drawing Orthogonal drawing. WMS. Practical: Demonstrate / Observe: Reinforce proper hand tool use. Continue on with rebates. Reinforce the significance of accuracy to plan. Start front and back pieces. | Resource: Google Classroom - Week 3
Tool Carry-all Week 7: Theory: Discussion: CAD / CAM used in Industry Workbook/Folio: Handle Designs Practical: Demonstrate / Observe: Laser cut template for handle designs | Resource: No resource location stated in source row.
Tool Carry-all Week 8: Theory: Discussion: CAD / CAM used in Industry Workbook/Folio: Handle Designs Practical: Demonstrate / Observe: Laser cut template for handle designs | Resource: No resource location stated in source row.
Mirror Week 17: Theory: Discussion: Presentation Techniques Workbook/Folio: Evaluation of completed projects Practical: Demonstrate / Observe: Ongoing safe workshop procedures | Resource: No resource location stated in source row.
Bedside Table Week 9: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
Bedside Table Week 10: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
Bedside Table Week 17: Theory: Discussion: Presentation Techniques Workbook/Folio: Evaluation of completed projects Practical: Demonstrate / Observe: Ongoing safe workshop procedures | Resource: No resource location stated in source row.</x:v>
      </x:c>
      <x:c r="G45" s="451" t="str">
        <x:v>Clock: Project Evidence row 7
Tool Carry-all: Project Evidence row 8
Mirror: Project Evidence row 9
Bedside Table: Project Evidence row 10</x:v>
      </x:c>
      <x:c r="H45" s="475" t="str">
        <x:v>Mapped</x:v>
      </x:c>
      <x:c r="I45" s="451" t="str">
        <x:v>stage_5_timber_2021-06-16.docx, table 18, row 3
stage_5_timber_2021-06-16.docx, table 30, row 7
stage_5_timber_2021-06-16.docx, table 30, row 8
stage_5_timber_2021-06-16.docx, table 36, row 17
stage_5_timber_2021-06-16.docx, table 42, row 9
stage_5_timber_2021-06-16.docx, table 42, row 10
stage_5_timber_2021-06-16.docx, table 42, row 17</x:v>
      </x:c>
      <x:c r="J45" s="452" t="str">
        <x:v>Not applicable</x:v>
      </x:c>
    </x:row>
    <x:row r="46" ht="64.80000305175781" hidden="0" customHeight="1">
      <x:c r="A46" s="466" t="str">
        <x:v>CP031</x:v>
      </x:c>
      <x:c r="B46" s="451" t="str">
        <x:v>maintain hand and machine tools</x:v>
      </x:c>
      <x:c r="C46" s="451" t="str">
        <x:v>Not stated in source.</x:v>
      </x:c>
      <x:c r="D46" s="451" t="str">
        <x:v>Clock Week 4
Clock Week 10</x:v>
      </x:c>
      <x:c r="E46" s="451" t="str">
        <x:v>Clock Week 4: Assemble main body component of clock. Cut rebates inside of clock. Industry Connections
Clock Week 10: Workshop Maintenance.</x:v>
      </x:c>
      <x:c r="F46" s="451" t="str">
        <x:v>Clock Week 4: Theory: Discussion: Compare to industry methods. Workbook/Folio: Tools / Machines Used / SOP Make a List and compare the tools/machines the students and industry used. Practical: Demonstrate / Observe: Mark and cut out front and back pieces. Set out sub-top and sub-bottom. | Resource: Google Classroom - Week 4
Clock Week 10: Theory: Discussion: The importance of good workshop maintenance Practical: Demonstrate / Observe: Manual handling Techniques | Resource: Google Classroom - Week 10</x:v>
      </x:c>
      <x:c r="G46" s="451" t="str">
        <x:v>Clock: Project Evidence row 7</x:v>
      </x:c>
      <x:c r="H46" s="475" t="str">
        <x:v>Mapped</x:v>
      </x:c>
      <x:c r="I46" s="451" t="str">
        <x:v>stage_5_timber_2021-06-16.docx, table 18, row 4
stage_5_timber_2021-06-16.docx, table 18, row 10</x:v>
      </x:c>
      <x:c r="J46" s="452" t="str">
        <x:v>Not applicable</x:v>
      </x:c>
    </x:row>
    <x:row r="47" ht="32.400001525878906" hidden="0" customHeight="1">
      <x:c r="A47" s="466" t="str">
        <x:v>CP032</x:v>
      </x:c>
      <x:c r="B47" s="451" t="str">
        <x:v>identify, select and use a range of hardware and cabinet fittings in the completion of projects, for example:</x:v>
      </x:c>
      <x:c r="C47" s="451" t="str">
        <x:v>drawer handles</x:v>
      </x:c>
      <x:c r="D47" s="451" t="str">
        <x:v>Clock Week 6</x:v>
      </x:c>
      <x:c r="E47" s="451" t="str">
        <x:v>Clock Week 6: Timber seasoning documentary and exercise. Assemble Carcass.</x:v>
      </x:c>
      <x:c r="F47" s="451" t="str">
        <x:v>Clock Week 6: Theory: Discussion: Design of ‘secret’ draw. Workbook/Folio: Research Types of hand planes and their uses Practical: Demonstrate / Observe: Plane Carcass flat and square. Position and glue clock face. | Resource: Google Classroom - Week 6</x:v>
      </x:c>
      <x:c r="G47" s="451" t="str">
        <x:v>Clock: Project Evidence row 7</x:v>
      </x:c>
      <x:c r="H47" s="475" t="str">
        <x:v>Mapped</x:v>
      </x:c>
      <x:c r="I47" s="451" t="str">
        <x:v>stage_5_timber_2021-06-16.docx, table 18, row 6</x:v>
      </x:c>
      <x:c r="J47" s="452" t="str">
        <x:v>Not applicable</x:v>
      </x:c>
    </x:row>
    <x:row r="48" ht="75.5999984741211" hidden="0" customHeight="1">
      <x:c r="A48" s="466" t="str">
        <x:v>CP033</x:v>
      </x:c>
      <x:c r="B48" s="451" t="str">
        <x:v>incorporate features into projects, for example:</x:v>
      </x:c>
      <x:c r="C48" s="451" t="str">
        <x:v>drawers</x:v>
      </x:c>
      <x:c r="D48" s="451" t="str">
        <x:v>Clock Week 6
Tool Carry-all Week 2</x:v>
      </x:c>
      <x:c r="E48" s="451" t="str">
        <x:v>Clock Week 6: Timber seasoning documentary and exercise. Assemble Carcass.
Tool Carry-all Week 2: Tools and Techniques used by Aboriginal and/or Torres Strait Islanders.</x:v>
      </x:c>
      <x:c r="F48" s="451" t="str">
        <x:v>Clock Week 6: Theory: Discussion: Design of ‘secret’ draw. Workbook/Folio: Research Types of hand planes and their uses Practical: Demonstrate / Observe: Plane Carcass flat and square. Position and glue clock face. | Resource: Google Classroom - Week 6
Tool Carry-all Week 2: Theory: Discussion: Tools and Techniques used by Aboriginal and/or Torres Strait Islanders. Workbook/Folio: Research types of timbers aboriginal people used for making their tools and equipment. What qualities did these have that made them suitable. | Resource: No resource location stated in source row.</x:v>
      </x:c>
      <x:c r="G48" s="451" t="str">
        <x:v>Clock: Project Evidence row 7
Tool Carry-all: Project Evidence row 8</x:v>
      </x:c>
      <x:c r="H48" s="475" t="str">
        <x:v>Mapped</x:v>
      </x:c>
      <x:c r="I48" s="451" t="str">
        <x:v>stage_5_timber_2021-06-16.docx, table 18, row 6
stage_5_timber_2021-06-16.docx, table 30, row 2</x:v>
      </x:c>
      <x:c r="J48" s="452" t="str">
        <x:v>Not applicable</x:v>
      </x:c>
    </x:row>
    <x:row r="49" ht="205.1999969482422" hidden="0" customHeight="1">
      <x:c r="A49" s="466" t="str">
        <x:v>CP034</x:v>
      </x:c>
      <x:c r="B49" s="451" t="str">
        <x:v>investigate historical technologies related to the timber industry</x:v>
      </x:c>
      <x:c r="C49" s="451" t="str">
        <x:v>Not stated in source.</x:v>
      </x:c>
      <x:c r="D49" s="451" t="str">
        <x:v>Clock Week 6
Tool Carry-all Week 2
Tool Carry-all Week 4
Tool Carry-all Week 5
Tool Carry-all Week 6</x:v>
      </x:c>
      <x:c r="E49" s="451" t="str">
        <x:v>Clock Week 6: Timber seasoning documentary and exercise. Assemble Carcass.
Tool Carry-all Week 2: Tools and Techniques used by Aboriginal and/or Torres Strait Islanders.
Tool Carry-all Week 4: Industry research exercise. Continue with Joint Construction.
Tool Carry-all Week 5: Industry Research Task. Continue cutting box-pins or dovetails.
Tool Carry-all Week 6: Industry Research Task. Complete joinery and begin to cut rebate for bottom.</x:v>
      </x:c>
      <x:c r="F49" s="451" t="str">
        <x:v>Clock Week 6: Theory: Discussion: Design of ‘secret’ draw. Workbook/Folio: Research Types of hand planes and their uses Practical: Demonstrate / Observe: Plane Carcass flat and square. Position and glue clock face. | Resource: Google Classroom - Week 6
Tool Carry-all Week 2: Theory: Discussion: Tools and Techniques used by Aboriginal and/or Torres Strait Islanders. Workbook/Folio: Research types of timbers aboriginal people used for making their tools and equipment. What qualities did these have that made them suitable. | Resource: No resource location stated in source row.
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x:v>
      </x:c>
      <x:c r="G49" s="451" t="str">
        <x:v>Clock: Project Evidence row 7
Tool Carry-all: Project Evidence row 8</x:v>
      </x:c>
      <x:c r="H49" s="475" t="str">
        <x:v>Mapped</x:v>
      </x:c>
      <x:c r="I49" s="451" t="str">
        <x:v>stage_5_timber_2021-06-16.docx, table 18, row 6
stage_5_timber_2021-06-16.docx, table 30, row 2
stage_5_timber_2021-06-16.docx, table 30, row 4
stage_5_timber_2021-06-16.docx, table 30, row 5
stage_5_timber_2021-06-16.docx, table 30, row 6</x:v>
      </x:c>
      <x:c r="J49" s="452" t="str">
        <x:v>Not applicable</x:v>
      </x:c>
    </x:row>
    <x:row r="50" ht="32.400001525878906" hidden="0" customHeight="1">
      <x:c r="A50" s="466" t="str">
        <x:v>CP035</x:v>
      </x:c>
      <x:c r="B50" s="451" t="str">
        <x:v>investigate issues relating to the sustainability of resources in the timber industry, for example:</x:v>
      </x:c>
      <x:c r="C50" s="451" t="str">
        <x:v>the use of plantation timbers</x:v>
      </x:c>
      <x:c r="D50" s="451" t="str">
        <x:v>Clock Week 7</x:v>
      </x:c>
      <x:c r="E50" s="451" t="str">
        <x:v>Clock Week 7: Mark and cut rebates for drawer. Mark, cut and plane sides.</x:v>
      </x:c>
      <x:c r="F50" s="451" t="str">
        <x:v>Clock Week 7: Theory: Discussion: Possible environmental impact through production of such products. Practical: Demonstrate / Observe: Cut out ‘secret drawer’. Route 6mm chamfer around inside of dial | Resource: Google Classroom - Week 7</x:v>
      </x:c>
      <x:c r="G50" s="451" t="str">
        <x:v>Clock: Project Evidence row 7</x:v>
      </x:c>
      <x:c r="H50" s="475" t="str">
        <x:v>Mapped</x:v>
      </x:c>
      <x:c r="I50" s="451" t="str">
        <x:v>stage_5_timber_2021-06-16.docx, table 18, row 7</x:v>
      </x:c>
      <x:c r="J50" s="452" t="str">
        <x:v>Not applicable</x:v>
      </x:c>
    </x:row>
    <x:row r="51" ht="86.4000015258789" hidden="0" customHeight="1">
      <x:c r="A51" s="466" t="str">
        <x:v>CP036</x:v>
      </x:c>
      <x:c r="B51" s="451" t="str">
        <x:v>calculate quantities and costs of materials and components used in the completion of projects, for example:</x:v>
      </x:c>
      <x:c r="C51" s="451" t="str">
        <x:v>use spreadsheets to calculate material quantities and monitor project costs
determine processes for the efficient use of materials</x:v>
      </x:c>
      <x:c r="D51" s="451" t="str">
        <x:v>Clock Week 8
Mirror Week 9
Bedside Table Week 11</x:v>
      </x:c>
      <x:c r="E51" s="451" t="str">
        <x:v>Clock Week 8: Complete cutting and costing list exercise in excel.
Mirror Week 9: Adding Design Features. Timber Conversion.
Bedside Table Week 11: Assemble / Gluing. Costing</x:v>
      </x:c>
      <x:c r="F51" s="451" t="str">
        <x:v>Clock Week 8: Theory: Workbook/Folio: Develop cutting list from plans using spreadsheet. Estimate and calculate quantity of materials used. | Resource: Google Classroom - Week 8
Mirror Week 9: Theory: Discussion: Discuss factors that affect good design - form and function. Workbook/Folio: Spreadsheet costing exercise. Practical: Demonstrate / Observe: Design features. Suitability and techniques | Resource: No resource location stated in source row.
Bedside Table Week 11: Theory: Discussion: Refresh Gluing and clamping - assembly and clamping times Workbook/Folio: Costing Exercise - Spreadsheet Practical: Demonstrate / Observe: Glueing and clamping processes | Resource: No resource location stated in source row.</x:v>
      </x:c>
      <x:c r="G51" s="451" t="str">
        <x:v>Clock: Project Evidence row 7
Mirror: Project Evidence row 9
Bedside Table: Project Evidence row 10</x:v>
      </x:c>
      <x:c r="H51" s="475" t="str">
        <x:v>Mapped</x:v>
      </x:c>
      <x:c r="I51" s="451" t="str">
        <x:v>stage_5_timber_2021-06-16.docx, table 18, row 8
stage_5_timber_2021-06-16.docx, table 36, row 9
stage_5_timber_2021-06-16.docx, table 42, row 11</x:v>
      </x:c>
      <x:c r="J51" s="452" t="str">
        <x:v>Not applicable</x:v>
      </x:c>
    </x:row>
    <x:row r="52" ht="21.600000381469727" hidden="0" customHeight="1">
      <x:c r="A52" s="466" t="str">
        <x:v>CP037</x:v>
      </x:c>
      <x:c r="B52" s="451" t="str">
        <x:v>contrast the properties and working characteristics of a range of timbers when planning and using timber for specific projects, for example:</x:v>
      </x:c>
      <x:c r="C52" s="451" t="str">
        <x:v>durability
workability</x:v>
      </x:c>
      <x:c r="D52" s="451" t="str">
        <x:v>Clock Week 9</x:v>
      </x:c>
      <x:c r="E52" s="451" t="str">
        <x:v>Clock Week 9: Assemble drawer - Properties of timber exercise.</x:v>
      </x:c>
      <x:c r="F52" s="451" t="str">
        <x:v>Clock Week 9: Theory: Discussion: Possible ways to improve project. Practical: Demonstrate / Observe: Plane and fit drawer for Carcass. | Resource: Google Classroom - Week 9</x:v>
      </x:c>
      <x:c r="G52" s="451" t="str">
        <x:v>Clock: Project Evidence row 7</x:v>
      </x:c>
      <x:c r="H52" s="475" t="str">
        <x:v>Mapped</x:v>
      </x:c>
      <x:c r="I52" s="451" t="str">
        <x:v>stage_5_timber_2021-06-16.docx, table 18, row 9</x:v>
      </x:c>
      <x:c r="J52" s="452" t="str">
        <x:v>Not applicable</x:v>
      </x:c>
    </x:row>
    <x:row r="53" ht="75.5999984741211" hidden="0" customHeight="1">
      <x:c r="A53" s="477" t="str">
        <x:v>CP038</x:v>
      </x:c>
      <x:c r="B53" s="478" t="str">
        <x:v>select and prepare timber for the lathe, for example:</x:v>
      </x:c>
      <x:c r="C53" s="478" t="str">
        <x:v>between centres turning</x:v>
      </x:c>
      <x:c r="D53" s="478" t="str">
        <x:v>Pen Week 1
Pen Week 2</x:v>
      </x:c>
      <x:c r="E53" s="478" t="str">
        <x:v>Pen Week 1: Demonstration of turning. Practice on scrap.
Pen Week 2: Work on and complete pen.</x:v>
      </x:c>
      <x:c r="F53" s="478" t="str">
        <x:v>Pen Week 1: Theory: Discussion: Types of uses for the Wood Lathe Workbook/Folio: Risk management for using the Lathe Practical: Demonstrate / Observe: Setup and demonstrate turning techniques. Simple scraping and cutting between centres Sanding and finishing on the lathe Turn a timber pen - Start to finish | Resource: No resource location stated in source row.
Pen Week 2: Demonstrate / Observe: Setup for turning. Simple scraping and cutting between centres - Techniques Sanding and finishing on the lathe Turn a timber pen - Start to finish | Resource: No resource location stated in source row.</x:v>
      </x:c>
      <x:c r="G53" s="478" t="str">
        <x:v>Pen: SCOPE-01; no Project Evidence row</x:v>
      </x:c>
      <x:c r="H53" s="479" t="str">
        <x:v>Has gaps</x:v>
      </x:c>
      <x:c r="I53" s="478" t="str">
        <x:v>stage_5_timber_2021-06-16.docx, table 24, row 1
stage_5_timber_2021-06-16.docx, table 24, row 2</x:v>
      </x:c>
      <x:c r="J53" s="480" t="str">
        <x:v>SCOPE-01 — confirm Pen is retained and evidenced, or formally map a replacement.</x:v>
      </x:c>
    </x:row>
    <x:row r="54" ht="75.5999984741211" hidden="0" customHeight="1">
      <x:c r="A54" s="477" t="str">
        <x:v>CP039</x:v>
      </x:c>
      <x:c r="B54" s="478" t="str">
        <x:v>set up and use lathe techniques for basic turning processes, for example:</x:v>
      </x:c>
      <x:c r="C54" s="478" t="str">
        <x:v>between centres turning, eg rolling pin, mallet handle</x:v>
      </x:c>
      <x:c r="D54" s="478" t="str">
        <x:v>Pen Week 1
Pen Week 2</x:v>
      </x:c>
      <x:c r="E54" s="478" t="str">
        <x:v>Pen Week 1: Demonstration of turning. Practice on scrap.
Pen Week 2: Work on and complete pen.</x:v>
      </x:c>
      <x:c r="F54" s="478" t="str">
        <x:v>Pen Week 1: Theory: Discussion: Types of uses for the Wood Lathe Workbook/Folio: Risk management for using the Lathe Practical: Demonstrate / Observe: Setup and demonstrate turning techniques. Simple scraping and cutting between centres Sanding and finishing on the lathe Turn a timber pen - Start to finish | Resource: No resource location stated in source row.
Pen Week 2: Demonstrate / Observe: Setup for turning. Simple scraping and cutting between centres - Techniques Sanding and finishing on the lathe Turn a timber pen - Start to finish | Resource: No resource location stated in source row.</x:v>
      </x:c>
      <x:c r="G54" s="478" t="str">
        <x:v>Pen: SCOPE-01; no Project Evidence row</x:v>
      </x:c>
      <x:c r="H54" s="479" t="str">
        <x:v>Has gaps</x:v>
      </x:c>
      <x:c r="I54" s="478" t="str">
        <x:v>stage_5_timber_2021-06-16.docx, table 24, row 1
stage_5_timber_2021-06-16.docx, table 24, row 2</x:v>
      </x:c>
      <x:c r="J54" s="480" t="str">
        <x:v>SCOPE-01 — confirm Pen is retained and evidenced, or formally map a replacement.</x:v>
      </x:c>
    </x:row>
    <x:row r="55" ht="43.20000076293945" hidden="0" customHeight="1">
      <x:c r="A55" s="466" t="str">
        <x:v>CP040</x:v>
      </x:c>
      <x:c r="B55" s="451" t="str">
        <x:v>investigate tools and techniques used by Aboriginal and/or Torres Strait Islander Peoples to manipulate timber and the environment, for example:</x:v>
      </x:c>
      <x:c r="C55" s="451" t="str">
        <x:v>Not stated in source.</x:v>
      </x:c>
      <x:c r="D55" s="451" t="str">
        <x:v>Tool Carry-all Week 2</x:v>
      </x:c>
      <x:c r="E55" s="451" t="str">
        <x:v>Tool Carry-all Week 2: Tools and Techniques used by Aboriginal and/or Torres Strait Islanders.</x:v>
      </x:c>
      <x:c r="F55" s="451" t="str">
        <x:v>Tool Carry-all Week 2: Theory: Discussion: Tools and Techniques used by Aboriginal and/or Torres Strait Islanders. Workbook/Folio: Research types of timbers aboriginal people used for making their tools and equipment. What qualities did these have that made them suitable. | Resource: No resource location stated in source row.</x:v>
      </x:c>
      <x:c r="G55" s="451" t="str">
        <x:v>Tool Carry-all: Project Evidence row 8</x:v>
      </x:c>
      <x:c r="H55" s="475" t="str">
        <x:v>Mapped</x:v>
      </x:c>
      <x:c r="I55" s="451" t="str">
        <x:v>stage_5_timber_2021-06-16.docx, table 30, row 2</x:v>
      </x:c>
      <x:c r="J55" s="452" t="str">
        <x:v>Not applicable</x:v>
      </x:c>
    </x:row>
    <x:row r="56" ht="226.8000030517578" hidden="0" customHeight="1">
      <x:c r="A56" s="466" t="str">
        <x:v>CP041</x:v>
      </x:c>
      <x:c r="B56" s="451" t="str">
        <x:v>develop and produce practical projects allowing for the characteristics and properties of materials, systems, components, tools and equipment available, for example: (ACTDEK046)</x:v>
      </x:c>
      <x:c r="C56" s="451" t="str">
        <x:v>joining processes
finishing</x:v>
      </x:c>
      <x:c r="D56" s="451" t="str">
        <x:v>Tool Carry-all Week 4
Tool Carry-all Week 5
Tool Carry-all Week 6
Tool Carry-all Week 13
Mirror Week 9
Mirror Week 10</x:v>
      </x:c>
      <x:c r="E56" s="451" t="str">
        <x:v>Tool Carry-all Week 4: Industry research exercise. Continue with Joint Construction.
Tool Carry-all Week 5: Industry Research Task. Continue cutting box-pins or dovetails.
Tool Carry-all Week 6: Industry Research Task. Complete joinery and begin to cut rebate for bottom.
Tool Carry-all Week 13: Sand and Prep project for finishing. Timber finishing and prep research.
Mirror Week 9: Adding Design Features. Timber Conversion.
Mirror Week 10: Adding Design Features. Workshop Maintenence.</x:v>
      </x:c>
      <x:c r="F56" s="451" t="str">
        <x:v>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
Tool Carry-all Week 13: Theory: Discussion: Sanding and prep' techniques Different types of finishes Workbook/Folio: Finishing methods worksheet Practical: Demonstrate / Observe: Preparing surfaces for finishing Apply finishes | Resource: No resource location stated in source row.
Mirror Week 9: Theory: Discussion: Discuss factors that affect good design - form and function. Workbook/Folio: Spreadsheet costing exercise. Practical: Demonstrate / Observe: Design features. Suitability and techniques | Resource: No resource location stated in source row.
Mirror Week 10: Theory: Discussion: The importance of good workshop maintenance Practical: Demonstrate / Observe: Manual handling techniques | Resource: No resource location stated in source row.</x:v>
      </x:c>
      <x:c r="G56" s="451" t="str">
        <x:v>Tool Carry-all: Project Evidence row 8
Mirror: Project Evidence row 9</x:v>
      </x:c>
      <x:c r="H56" s="475" t="str">
        <x:v>Mapped</x:v>
      </x:c>
      <x:c r="I56" s="451" t="str">
        <x:v>stage_5_timber_2021-06-16.docx, table 30, row 4
stage_5_timber_2021-06-16.docx, table 30, row 5
stage_5_timber_2021-06-16.docx, table 30, row 6
stage_5_timber_2021-06-16.docx, table 30, row 13
stage_5_timber_2021-06-16.docx, table 36, row 9
stage_5_timber_2021-06-16.docx, table 36, row 10</x:v>
      </x:c>
      <x:c r="J56" s="452" t="str">
        <x:v>Not applicable</x:v>
      </x:c>
    </x:row>
    <x:row r="57" ht="162" hidden="0" customHeight="1">
      <x:c r="A57" s="466" t="str">
        <x:v>CP042</x:v>
      </x:c>
      <x:c r="B57" s="451" t="str">
        <x:v>investigate advanced manufacturing techniques to assist in the production of projects, for example:</x:v>
      </x:c>
      <x:c r="C57" s="451" t="str">
        <x:v>CNC equipment, eg laser cutters, CNC milling machines
rapid prototyping</x:v>
      </x:c>
      <x:c r="D57" s="451" t="str">
        <x:v>Tool Carry-all Week 4
Tool Carry-all Week 5
Tool Carry-all Week 6
Mirror Week 10</x:v>
      </x:c>
      <x:c r="E57" s="451" t="str">
        <x:v>Tool Carry-all Week 4: Industry research exercise. Continue with Joint Construction.
Tool Carry-all Week 5: Industry Research Task. Continue cutting box-pins or dovetails.
Tool Carry-all Week 6: Industry Research Task. Complete joinery and begin to cut rebate for bottom.
Mirror Week 10: Adding Design Features. Workshop Maintenence.</x:v>
      </x:c>
      <x:c r="F57" s="451" t="str">
        <x:v>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
Mirror Week 10: Theory: Discussion: The importance of good workshop maintenance Practical: Demonstrate / Observe: Manual handling techniques | Resource: No resource location stated in source row.</x:v>
      </x:c>
      <x:c r="G57" s="451" t="str">
        <x:v>Tool Carry-all: Project Evidence row 8
Mirror: Project Evidence row 9</x:v>
      </x:c>
      <x:c r="H57" s="475" t="str">
        <x:v>Mapped</x:v>
      </x:c>
      <x:c r="I57" s="451" t="str">
        <x:v>stage_5_timber_2021-06-16.docx, table 30, row 4
stage_5_timber_2021-06-16.docx, table 30, row 5
stage_5_timber_2021-06-16.docx, table 30, row 6
stage_5_timber_2021-06-16.docx, table 36, row 10</x:v>
      </x:c>
      <x:c r="J57" s="452" t="str">
        <x:v>Not applicable</x:v>
      </x:c>
    </x:row>
    <x:row r="58" ht="129.60000610351562" hidden="0" customHeight="1">
      <x:c r="A58" s="466" t="str">
        <x:v>CP043</x:v>
      </x:c>
      <x:c r="B58" s="451" t="str">
        <x:v>investigate technologies used in the timber industry to reduce the use of non-renewable resources, for example:</x:v>
      </x:c>
      <x:c r="C58" s="451" t="str">
        <x:v>use of finger jointed timbers</x:v>
      </x:c>
      <x:c r="D58" s="451" t="str">
        <x:v>Tool Carry-all Week 4
Tool Carry-all Week 5
Tool Carry-all Week 6</x:v>
      </x:c>
      <x:c r="E58" s="451" t="str">
        <x:v>Tool Carry-all Week 4: Industry research exercise. Continue with Joint Construction.
Tool Carry-all Week 5: Industry Research Task. Continue cutting box-pins or dovetails.
Tool Carry-all Week 6: Industry Research Task. Complete joinery and begin to cut rebate for bottom.</x:v>
      </x:c>
      <x:c r="F58" s="451" t="str">
        <x:v>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x:v>
      </x:c>
      <x:c r="G58" s="451" t="str">
        <x:v>Tool Carry-all: Project Evidence row 8</x:v>
      </x:c>
      <x:c r="H58" s="475" t="str">
        <x:v>Mapped</x:v>
      </x:c>
      <x:c r="I58" s="451" t="str">
        <x:v>stage_5_timber_2021-06-16.docx, table 30, row 4
stage_5_timber_2021-06-16.docx, table 30, row 5
stage_5_timber_2021-06-16.docx, table 30, row 6</x:v>
      </x:c>
      <x:c r="J58" s="452" t="str">
        <x:v>Not applicable</x:v>
      </x:c>
    </x:row>
    <x:row r="59" ht="129.60000610351562" hidden="0" customHeight="1">
      <x:c r="A59" s="466" t="str">
        <x:v>CP044</x:v>
      </x:c>
      <x:c r="B59" s="451" t="str">
        <x:v>compare industrial production processes to those used in the classroom, for example:</x:v>
      </x:c>
      <x:c r="C59" s="451" t="str">
        <x:v>using jigs and templates</x:v>
      </x:c>
      <x:c r="D59" s="451" t="str">
        <x:v>Tool Carry-all Week 4
Tool Carry-all Week 5
Tool Carry-all Week 6</x:v>
      </x:c>
      <x:c r="E59" s="451" t="str">
        <x:v>Tool Carry-all Week 4: Industry research exercise. Continue with Joint Construction.
Tool Carry-all Week 5: Industry Research Task. Continue cutting box-pins or dovetails.
Tool Carry-all Week 6: Industry Research Task. Complete joinery and begin to cut rebate for bottom.</x:v>
      </x:c>
      <x:c r="F59" s="451" t="str">
        <x:v>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x:v>
      </x:c>
      <x:c r="G59" s="451" t="str">
        <x:v>Tool Carry-all: Project Evidence row 8</x:v>
      </x:c>
      <x:c r="H59" s="475" t="str">
        <x:v>Mapped</x:v>
      </x:c>
      <x:c r="I59" s="451" t="str">
        <x:v>stage_5_timber_2021-06-16.docx, table 30, row 4
stage_5_timber_2021-06-16.docx, table 30, row 5
stage_5_timber_2021-06-16.docx, table 30, row 6</x:v>
      </x:c>
      <x:c r="J59" s="452" t="str">
        <x:v>Not applicable</x:v>
      </x:c>
    </x:row>
    <x:row r="60" ht="129.60000610351562" hidden="0" customHeight="1">
      <x:c r="A60" s="466" t="str">
        <x:v>CP045</x:v>
      </x:c>
      <x:c r="B60" s="451" t="str">
        <x:v>investigate a range of career paths in the timber and related industries, for example:</x:v>
      </x:c>
      <x:c r="C60" s="451" t="str">
        <x:v>carpenter
cabinetmaker
joiner
wood machinist</x:v>
      </x:c>
      <x:c r="D60" s="451" t="str">
        <x:v>Tool Carry-all Week 4
Tool Carry-all Week 5
Tool Carry-all Week 6</x:v>
      </x:c>
      <x:c r="E60" s="451" t="str">
        <x:v>Tool Carry-all Week 4: Industry research exercise. Continue with Joint Construction.
Tool Carry-all Week 5: Industry Research Task. Continue cutting box-pins or dovetails.
Tool Carry-all Week 6: Industry Research Task. Complete joinery and begin to cut rebate for bottom.</x:v>
      </x:c>
      <x:c r="F60" s="451" t="str">
        <x:v>Tool Carry-all Week 4: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5: Theory: Discussion: Discuss the relationships between classroom techniques and Industry manufacturing processes. Workbook/Folio: Industry Research Task Practical: Demonstrate / Observe: Mark out joints - Box-pin or Dovetail Cut joints Chiseling and fine tuning joint fit | Resource: No resource location stated in source row.
Tool Carry-all Week 6: Theory: Discussion: Discuss the relationships between classroom techniques and Industry manufacturing processes. Workbook/Folio: Industry Research Task Practical: Demonstrate / Observe: Mark out joints - Box-pin or Dovetail Cut joints Chiseling and fine tuning joint fit Cut rebate for bottom | Resource: No resource location stated in source row.</x:v>
      </x:c>
      <x:c r="G60" s="451" t="str">
        <x:v>Tool Carry-all: Project Evidence row 8</x:v>
      </x:c>
      <x:c r="H60" s="475" t="str">
        <x:v>Mapped</x:v>
      </x:c>
      <x:c r="I60" s="451" t="str">
        <x:v>stage_5_timber_2021-06-16.docx, table 30, row 4
stage_5_timber_2021-06-16.docx, table 30, row 5
stage_5_timber_2021-06-16.docx, table 30, row 6</x:v>
      </x:c>
      <x:c r="J60" s="452" t="str">
        <x:v>Not applicable</x:v>
      </x:c>
    </x:row>
    <x:row r="61" ht="32.400001525878906" hidden="0" customHeight="1">
      <x:c r="A61" s="466" t="str">
        <x:v>CP046</x:v>
      </x:c>
      <x:c r="B61" s="451" t="str">
        <x:v>describe elementary first aid procedures, for example:</x:v>
      </x:c>
      <x:c r="C61" s="451" t="str">
        <x:v>outline the procedure to follow after a particular incident, eg burns and cuts</x:v>
      </x:c>
      <x:c r="D61" s="451" t="str">
        <x:v>Tool Carry-all Week 12</x:v>
      </x:c>
      <x:c r="E61" s="451" t="str">
        <x:v>Tool Carry-all Week 12: SWMS for tool carry all.</x:v>
      </x:c>
      <x:c r="F61" s="451" t="str">
        <x:v>Tool Carry-all Week 12: Theory: Workbook/Folio: Sequencing exercise Safe Work Method Statement Practical: Demonstrate / Observe: Dry assembly glue and clamping process checking for square | Resource: No resource location stated in source row.</x:v>
      </x:c>
      <x:c r="G61" s="451" t="str">
        <x:v>Tool Carry-all: Project Evidence row 8</x:v>
      </x:c>
      <x:c r="H61" s="475" t="str">
        <x:v>Mapped</x:v>
      </x:c>
      <x:c r="I61" s="451" t="str">
        <x:v>stage_5_timber_2021-06-16.docx, table 30, row 12</x:v>
      </x:c>
      <x:c r="J61" s="452" t="str">
        <x:v>Not applicable</x:v>
      </x:c>
    </x:row>
    <x:row r="62" ht="86.4000015258789" hidden="0" customHeight="1">
      <x:c r="A62" s="466" t="str">
        <x:v>CP047</x:v>
      </x:c>
      <x:c r="B62" s="451" t="str">
        <x:v>describe the WHS Act and WHS Regulations, and the role of SafeWork NSW in maintaining a safe workplace</x:v>
      </x:c>
      <x:c r="C62" s="451" t="str">
        <x:v>Not stated in source.</x:v>
      </x:c>
      <x:c r="D62" s="451" t="str">
        <x:v>Mirror Week 1
Bedside Table Week 1</x:v>
      </x:c>
      <x:c r="E62" s="451" t="str">
        <x:v>Mirror Week 1: Introduction and Workshop Safety. Constraints and limitations.
Bedside Table Week 1: Introduction. OHS and Risk Management.</x:v>
      </x:c>
      <x:c r="F62" s="451" t="str">
        <x:v>Mirror Week 1: Theory: Discussion: Refresh Onguard Topics and Quiz's Reinforce the safe use of machines. Refresh the importance of PPE Workbook/Folio: Design brief, constraints and considerations General Workshop Safety Sheet Practical: Demonstrate / Observe: Refresh - Measure, mark and cut a rebate and housing joint. | Resource: No resource location stated in source row.
Bedside Table Week 1: Theory: Discussion: Refresh Onguard Topics and Quiz's Reinforce the safe use of machines. Refresh the importance of PPE Workbook/Folio: General Workshop Safety Sheet - Refresh Purpose of the table and design Input Practical: Demonstrate / Observe: Refresh - Measure, mark and cut a mortice and tenon joint | Resource: No resource location stated in source row.</x:v>
      </x:c>
      <x:c r="G62" s="451" t="str">
        <x:v>Mirror: Project Evidence row 9
Bedside Table: Project Evidence row 10</x:v>
      </x:c>
      <x:c r="H62" s="475" t="str">
        <x:v>Mapped</x:v>
      </x:c>
      <x:c r="I62" s="451" t="str">
        <x:v>stage_5_timber_2021-06-16.docx, table 36, row 1
stage_5_timber_2021-06-16.docx, table 42, row 1</x:v>
      </x:c>
      <x:c r="J62" s="452" t="str">
        <x:v>Not applicable</x:v>
      </x:c>
    </x:row>
    <x:row r="63" ht="86.4000015258789" hidden="0" customHeight="1">
      <x:c r="A63" s="466" t="str">
        <x:v>CP048</x:v>
      </x:c>
      <x:c r="B63" s="451" t="str">
        <x:v>identify and apply the principles of first aid, for example:</x:v>
      </x:c>
      <x:c r="C63" s="451" t="str">
        <x:v>outline the procedure to follow after a particular incident, eg cuts and lacerations</x:v>
      </x:c>
      <x:c r="D63" s="451" t="str">
        <x:v>Mirror Week 1
Bedside Table Week 1</x:v>
      </x:c>
      <x:c r="E63" s="451" t="str">
        <x:v>Mirror Week 1: Introduction and Workshop Safety. Constraints and limitations.
Bedside Table Week 1: Introduction. OHS and Risk Management.</x:v>
      </x:c>
      <x:c r="F63" s="451" t="str">
        <x:v>Mirror Week 1: Theory: Discussion: Refresh Onguard Topics and Quiz's Reinforce the safe use of machines. Refresh the importance of PPE Workbook/Folio: Design brief, constraints and considerations General Workshop Safety Sheet Practical: Demonstrate / Observe: Refresh - Measure, mark and cut a rebate and housing joint. | Resource: No resource location stated in source row.
Bedside Table Week 1: Theory: Discussion: Refresh Onguard Topics and Quiz's Reinforce the safe use of machines. Refresh the importance of PPE Workbook/Folio: General Workshop Safety Sheet - Refresh Purpose of the table and design Input Practical: Demonstrate / Observe: Refresh - Measure, mark and cut a mortice and tenon joint | Resource: No resource location stated in source row.</x:v>
      </x:c>
      <x:c r="G63" s="451" t="str">
        <x:v>Mirror: Project Evidence row 9
Bedside Table: Project Evidence row 10</x:v>
      </x:c>
      <x:c r="H63" s="475" t="str">
        <x:v>Mapped</x:v>
      </x:c>
      <x:c r="I63" s="451" t="str">
        <x:v>stage_5_timber_2021-06-16.docx, table 36, row 1
stage_5_timber_2021-06-16.docx, table 42, row 1</x:v>
      </x:c>
      <x:c r="J63" s="452" t="str">
        <x:v>Not applicable</x:v>
      </x:c>
    </x:row>
    <x:row r="64" ht="172.8000030517578" hidden="0" customHeight="1">
      <x:c r="A64" s="466" t="str">
        <x:v>CP049</x:v>
      </x:c>
      <x:c r="B64" s="451" t="str">
        <x:v>identify the functional and aesthetic aspects of design in timber projects, for example:</x:v>
      </x:c>
      <x:c r="C64" s="451" t="str">
        <x:v>suitability of finish for desired appearance
suitability of species for outdoor applications</x:v>
      </x:c>
      <x:c r="D64" s="451" t="str">
        <x:v>Mirror Week 1
Mirror Week 2
Bedside Table Week 1
Bedside Table Week 2</x:v>
      </x:c>
      <x:c r="E64" s="451" t="str">
        <x:v>Mirror Week 1: Introduction and Workshop Safety. Constraints and limitations.
Mirror Week 2: Design and sketches. Measure and Mark-out. Safe use of Tools and Equipment.
Bedside Table Week 1: Introduction. OHS and Risk Management.
Bedside Table Week 2: Design and sketches. Measure and Mark-out.</x:v>
      </x:c>
      <x:c r="F64" s="451" t="str">
        <x:v>Mirror Week 1: Theory: Discussion: Refresh Onguard Topics and Quiz's Reinforce the safe use of machines. Refresh the importance of PPE Workbook/Folio: Design brief, constraints and considerations General Workshop Safety Sheet Practical: Demonstrate / Observe: Refresh - Measure, mark and cut a rebate and housing joint. | Resource: No resource location stated in source row.
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Bedside Table Week 1: Theory: Discussion: Refresh Onguard Topics and Quiz's Reinforce the safe use of machines. Refresh the importance of PPE Workbook/Folio: General Workshop Safety Sheet - Refresh Purpose of the table and design Input Practical: Demonstrate / Observe: Refresh - Measure, mark and cut a mortice and tenon joint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x:v>
      </x:c>
      <x:c r="G64" s="451" t="str">
        <x:v>Mirror: Project Evidence row 9
Bedside Table: Project Evidence row 10</x:v>
      </x:c>
      <x:c r="H64" s="475" t="str">
        <x:v>Mapped</x:v>
      </x:c>
      <x:c r="I64" s="451" t="str">
        <x:v>stage_5_timber_2021-06-16.docx, table 36, row 1
stage_5_timber_2021-06-16.docx, table 36, row 2
stage_5_timber_2021-06-16.docx, table 42, row 1
stage_5_timber_2021-06-16.docx, table 42, row 2</x:v>
      </x:c>
      <x:c r="J64" s="452" t="str">
        <x:v>Not applicable</x:v>
      </x:c>
    </x:row>
    <x:row r="65" ht="172.8000030517578" hidden="0" customHeight="1">
      <x:c r="A65" s="466" t="str">
        <x:v>CP050</x:v>
      </x:c>
      <x:c r="B65" s="451" t="str">
        <x:v>use and/or modify designs when completing projects (ACTDEP049)</x:v>
      </x:c>
      <x:c r="C65" s="451" t="str">
        <x:v>Not stated in source.</x:v>
      </x:c>
      <x:c r="D65" s="451" t="str">
        <x:v>Mirror Week 1
Mirror Week 2
Bedside Table Week 1
Bedside Table Week 2</x:v>
      </x:c>
      <x:c r="E65" s="451" t="str">
        <x:v>Mirror Week 1: Introduction and Workshop Safety. Constraints and limitations.
Mirror Week 2: Design and sketches. Measure and Mark-out. Safe use of Tools and Equipment.
Bedside Table Week 1: Introduction. OHS and Risk Management.
Bedside Table Week 2: Design and sketches. Measure and Mark-out.</x:v>
      </x:c>
      <x:c r="F65" s="451" t="str">
        <x:v>Mirror Week 1: Theory: Discussion: Refresh Onguard Topics and Quiz's Reinforce the safe use of machines. Refresh the importance of PPE Workbook/Folio: Design brief, constraints and considerations General Workshop Safety Sheet Practical: Demonstrate / Observe: Refresh - Measure, mark and cut a rebate and housing joint. | Resource: No resource location stated in source row.
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Bedside Table Week 1: Theory: Discussion: Refresh Onguard Topics and Quiz's Reinforce the safe use of machines. Refresh the importance of PPE Workbook/Folio: General Workshop Safety Sheet - Refresh Purpose of the table and design Input Practical: Demonstrate / Observe: Refresh - Measure, mark and cut a mortice and tenon joint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x:v>
      </x:c>
      <x:c r="G65" s="451" t="str">
        <x:v>Mirror: Project Evidence row 9
Bedside Table: Project Evidence row 10</x:v>
      </x:c>
      <x:c r="H65" s="475" t="str">
        <x:v>Mapped</x:v>
      </x:c>
      <x:c r="I65" s="451" t="str">
        <x:v>stage_5_timber_2021-06-16.docx, table 36, row 1
stage_5_timber_2021-06-16.docx, table 36, row 2
stage_5_timber_2021-06-16.docx, table 42, row 1
stage_5_timber_2021-06-16.docx, table 42, row 2</x:v>
      </x:c>
      <x:c r="J65" s="452" t="str">
        <x:v>Not applicable</x:v>
      </x:c>
    </x:row>
    <x:row r="66" ht="151.1999969482422" hidden="0" customHeight="1">
      <x:c r="A66" s="466" t="str">
        <x:v>CP051</x:v>
      </x:c>
      <x:c r="B66" s="451" t="str">
        <x:v>identify, select and use a range of hand, power and machine tools for preparation, marking out, cutting, shaping and joining timber (ACTDEK046)</x:v>
      </x:c>
      <x:c r="C66" s="451" t="str">
        <x:v>Not stated in source.</x:v>
      </x:c>
      <x:c r="D66" s="451" t="str">
        <x:v>Mirror Week 2
Mirror Week 3
Bedside Table Week 2
Bedside Table Week 3</x:v>
      </x:c>
      <x:c r="E66" s="451" t="str">
        <x:v>Mirror Week 2: Design and sketches. Measure and Mark-out. Safe use of Tools and Equipment.
Mirror Week 3: Dress and prepare timber to size. Function of the Plane. Project Management
Bedside Table Week 2: Design and sketches. Measure and Mark-out.
Bedside Table Week 3: Dress and prepare timber to size. DAR - FEWTEL</x:v>
      </x:c>
      <x:c r="F66" s="451" t="str">
        <x:v>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Mirror Week 3: Theory: Discussion: Refresh FEWTEL. DAR Workbook/Folio: Sketch out design ideas (Cont') Modification of existing plans Practical: Demonstrate / Observe: The use of the handplane / Thicknesser Checking for square face/side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
Bedside Table Week 3: Theory: Discussion: Refresh FEWTEL. DAR Workbook/Folio: Sketch out design ideas (Cont') Modification of existing plans Practical: Demonstrate / Observe: Refresh The use of the handplane / Thicknesser | Resource: No resource location stated in source row.</x:v>
      </x:c>
      <x:c r="G66" s="451" t="str">
        <x:v>Mirror: Project Evidence row 9
Bedside Table: Project Evidence row 10</x:v>
      </x:c>
      <x:c r="H66" s="475" t="str">
        <x:v>Mapped</x:v>
      </x:c>
      <x:c r="I66" s="451" t="str">
        <x:v>stage_5_timber_2021-06-16.docx, table 36, row 2
stage_5_timber_2021-06-16.docx, table 36, row 3
stage_5_timber_2021-06-16.docx, table 42, row 2
stage_5_timber_2021-06-16.docx, table 42, row 3</x:v>
      </x:c>
      <x:c r="J66" s="452" t="str">
        <x:v>Not applicable</x:v>
      </x:c>
    </x:row>
    <x:row r="67" ht="151.1999969482422" hidden="0" customHeight="1">
      <x:c r="A67" s="466" t="str">
        <x:v>CP052</x:v>
      </x:c>
      <x:c r="B67" s="451" t="str">
        <x:v>maintain hand tools used to cut and shape timber</x:v>
      </x:c>
      <x:c r="C67" s="451" t="str">
        <x:v>Not stated in source.</x:v>
      </x:c>
      <x:c r="D67" s="451" t="str">
        <x:v>Mirror Week 2
Mirror Week 3
Bedside Table Week 2
Bedside Table Week 3</x:v>
      </x:c>
      <x:c r="E67" s="451" t="str">
        <x:v>Mirror Week 2: Design and sketches. Measure and Mark-out. Safe use of Tools and Equipment.
Mirror Week 3: Dress and prepare timber to size. Function of the Plane. Project Management
Bedside Table Week 2: Design and sketches. Measure and Mark-out.
Bedside Table Week 3: Dress and prepare timber to size. DAR - FEWTEL</x:v>
      </x:c>
      <x:c r="F67" s="451" t="str">
        <x:v>Mirror Week 2: Theory: Discussion: Look at past projects and discuss design ideas as a group. Workbook/Folio: PMI's on existing designs SOP's Sketch out design ideas Practical: Demonstrate / Observe: Cut timber to lengths for mirror frame | Resource: No resource location stated in source row.
Mirror Week 3: Theory: Discussion: Refresh FEWTEL. DAR Workbook/Folio: Sketch out design ideas (Cont') Modification of existing plans Practical: Demonstrate / Observe: The use of the handplane / Thicknesser Checking for square face/side | Resource: No resource location stated in source row.
Bedside Table Week 2: Theory: Discussion: Look at past projects and discuss design ideas as a group. Workbook/Folio: PMI's on existing designs SOP's Mortise Machine Sketch out design ideas Practical: Demonstrate / Observe: Cut timber to lengths for bedside table | Resource: No resource location stated in source row.
Bedside Table Week 3: Theory: Discussion: Refresh FEWTEL. DAR Workbook/Folio: Sketch out design ideas (Cont') Modification of existing plans Practical: Demonstrate / Observe: Refresh The use of the handplane / Thicknesser | Resource: No resource location stated in source row.</x:v>
      </x:c>
      <x:c r="G67" s="451" t="str">
        <x:v>Mirror: Project Evidence row 9
Bedside Table: Project Evidence row 10</x:v>
      </x:c>
      <x:c r="H67" s="475" t="str">
        <x:v>Mapped</x:v>
      </x:c>
      <x:c r="I67" s="451" t="str">
        <x:v>stage_5_timber_2021-06-16.docx, table 36, row 2
stage_5_timber_2021-06-16.docx, table 36, row 3
stage_5_timber_2021-06-16.docx, table 42, row 2
stage_5_timber_2021-06-16.docx, table 42, row 3</x:v>
      </x:c>
      <x:c r="J67" s="452" t="str">
        <x:v>Not applicable</x:v>
      </x:c>
    </x:row>
    <x:row r="68" ht="32.400001525878906" hidden="0" customHeight="1">
      <x:c r="A68" s="466" t="str">
        <x:v>CP053</x:v>
      </x:c>
      <x:c r="B68" s="451" t="str">
        <x:v>identify, select and use suitable processes and techniques for specific projects (ACTDEK047, ACTDEP050)</x:v>
      </x:c>
      <x:c r="C68" s="451" t="str">
        <x:v>Not stated in source.</x:v>
      </x:c>
      <x:c r="D68" s="451" t="str">
        <x:v>Mirror Week 3</x:v>
      </x:c>
      <x:c r="E68" s="451" t="str">
        <x:v>Mirror Week 3: Dress and prepare timber to size. Function of the Plane. Project Management</x:v>
      </x:c>
      <x:c r="F68" s="451" t="str">
        <x:v>Mirror Week 3: Theory: Discussion: Refresh FEWTEL. DAR Workbook/Folio: Sketch out design ideas (Cont') Modification of existing plans Practical: Demonstrate / Observe: The use of the handplane / Thicknesser Checking for square face/side | Resource: No resource location stated in source row.</x:v>
      </x:c>
      <x:c r="G68" s="451" t="str">
        <x:v>Mirror: Project Evidence row 9</x:v>
      </x:c>
      <x:c r="H68" s="475" t="str">
        <x:v>Mapped</x:v>
      </x:c>
      <x:c r="I68" s="451" t="str">
        <x:v>stage_5_timber_2021-06-16.docx, table 36, row 3</x:v>
      </x:c>
      <x:c r="J68" s="452" t="str">
        <x:v>Not applicable</x:v>
      </x:c>
    </x:row>
    <x:row r="69" ht="64.80000305175781" hidden="0" customHeight="1">
      <x:c r="A69" s="466" t="str">
        <x:v>CP054</x:v>
      </x:c>
      <x:c r="B69" s="451" t="str">
        <x:v>read and interpret plans and/or materials lists to prepare materials for the completion of projects</x:v>
      </x:c>
      <x:c r="C69" s="451" t="str">
        <x:v>Not stated in source.</x:v>
      </x:c>
      <x:c r="D69" s="451" t="str">
        <x:v>Mirror Week 3
Bedside Table Week 3</x:v>
      </x:c>
      <x:c r="E69" s="451" t="str">
        <x:v>Mirror Week 3: Dress and prepare timber to size. Function of the Plane. Project Management
Bedside Table Week 3: Dress and prepare timber to size. DAR - FEWTEL</x:v>
      </x:c>
      <x:c r="F69" s="451" t="str">
        <x:v>Mirror Week 3: Theory: Discussion: Refresh FEWTEL. DAR Workbook/Folio: Sketch out design ideas (Cont') Modification of existing plans Practical: Demonstrate / Observe: The use of the handplane / Thicknesser Checking for square face/side | Resource: No resource location stated in source row.
Bedside Table Week 3: Theory: Discussion: Refresh FEWTEL. DAR Workbook/Folio: Sketch out design ideas (Cont') Modification of existing plans Practical: Demonstrate / Observe: Refresh The use of the handplane / Thicknesser | Resource: No resource location stated in source row.</x:v>
      </x:c>
      <x:c r="G69" s="451" t="str">
        <x:v>Mirror: Project Evidence row 9
Bedside Table: Project Evidence row 10</x:v>
      </x:c>
      <x:c r="H69" s="475" t="str">
        <x:v>Mapped</x:v>
      </x:c>
      <x:c r="I69" s="451" t="str">
        <x:v>stage_5_timber_2021-06-16.docx, table 36, row 3
stage_5_timber_2021-06-16.docx, table 42, row 3</x:v>
      </x:c>
      <x:c r="J69" s="452" t="str">
        <x:v>Not applicable</x:v>
      </x:c>
    </x:row>
    <x:row r="70" ht="226.8000030517578" hidden="0" customHeight="1">
      <x:c r="A70" s="466" t="str">
        <x:v>CP055</x:v>
      </x:c>
      <x:c r="B70" s="451" t="str">
        <x:v>select and use a range of framing, corner, joining and widening methods, for example: (ACTDEK046)</x:v>
      </x:c>
      <x:c r="C70" s="451" t="str">
        <x:v>biscuit and dowel widening joints
through housing joint for a shelf or divider
mortise and tenon joint for a table</x:v>
      </x:c>
      <x:c r="D70" s="451" t="str">
        <x:v>Mirror Week 4
Mirror Week 5
Mirror Week 6
Bedside Table Week 4
Bedside Table Week 5
Bedside Table Week 6</x:v>
      </x:c>
      <x:c r="E70" s="451" t="str">
        <x:v>Mirror Week 4: Dowel, biscuit and Domino Joints. Research and select suitable timbers. Timber properties and suitable joinery
Mirror Week 5: Dowel, biscuit and Domino Joints, or other suitable Joints.
Mirror Week 6: Dowel, biscuit and Domino Joints, or other suitable Joints.
Bedside Table Week 4: On-guard Mortiser
Bedside Table Week 5: Mortise and Tenon Joints. On guard - Bandsaw
Bedside Table Week 6: Mortise and Tenon Joints - SOP Bandsaw</x:v>
      </x:c>
      <x:c r="F70" s="451" t="str">
        <x:v>Mirror Week 4: Theory: Discussion: Refresh safety aspects for powertool use Suitability of dowel, biscuits and dominos Workbook/Folio: Joinery Research Practical: Demonstrate / Observe: The use of the dowel, biscuit and domino cutters | Resource: No resource location stated in source row.
Mirror Week 5: Theory: Discussion: Cont' Refresh safety aspects for powertool use Suitability of dowel, biscuits and dominos Workbook/Folio: Con't Joinery Research Practical: Demonstrate / Observe: Cont' The use of the dowel, biscuit and domino cutters | Resource: No resource location stated in source row.
Mirror Week 6: Theory: Discussion: Cont' Refresh safety aspects for powertool use Suitability of dowel, biscuits and dominos Workbook/Folio: Con't Joinery Research Practical: Demonstrate / Observe: Cont' The use of the dowel, biscuit and domino cutters | Resource: No resource location stated in source row.
Bedside Table Week 4: Theory: Discussion: Refresh safety aspects for Machine use Suitability of Mortise and Tenon Joints Workbook/Folio: Tools, machinery and their uses in making the bedside table Onguard - Mortiser Practical: Demonstrate / Observe: The use of the Mortise Machine | Resource: No resource location stated in source row.
Bedside Table Week 5: Theory: Discussion: Uses of the bandsaw. Tracking and trouble shooting Workbook/Folio: Onguard - Bandsaw Practical: Demonstrate / Observe: Using the mortise machine and Bandsaw to cut mortise and tenon joints | Resource: No resource location stated in source row.
Bedside Table Week 6: Theory: Discussion: Uses of the bandsaw. Tracking and trouble shooting Workbook/Folio: SOP - Bandsaw Practical: Demonstrate / Observe: Using the mortise machine and Bandsaw to cut mortise and tenon joints | Resource: No resource location stated in source row.</x:v>
      </x:c>
      <x:c r="G70" s="451" t="str">
        <x:v>Mirror: Project Evidence row 9
Bedside Table: Project Evidence row 10</x:v>
      </x:c>
      <x:c r="H70" s="475" t="str">
        <x:v>Mapped</x:v>
      </x:c>
      <x:c r="I70" s="451" t="str">
        <x:v>stage_5_timber_2021-06-16.docx, table 36, row 4
stage_5_timber_2021-06-16.docx, table 36, row 5
stage_5_timber_2021-06-16.docx, table 36, row 6
stage_5_timber_2021-06-16.docx, table 42, row 4
stage_5_timber_2021-06-16.docx, table 42, row 5
stage_5_timber_2021-06-16.docx, table 42, row 6</x:v>
      </x:c>
      <x:c r="J70" s="452" t="str">
        <x:v>Not applicable</x:v>
      </x:c>
    </x:row>
    <x:row r="71" ht="75.5999984741211" hidden="0" customHeight="1">
      <x:c r="A71" s="466" t="str">
        <x:v>CP056</x:v>
      </x:c>
      <x:c r="B71" s="451" t="str">
        <x:v>research and select appropriate timbers or timber products and allied materials when completing projects (ACTDEK046)</x:v>
      </x:c>
      <x:c r="C71" s="451" t="str">
        <x:v>Not stated in source.</x:v>
      </x:c>
      <x:c r="D71" s="451" t="str">
        <x:v>Mirror Week 4
Bedside Table Week 4</x:v>
      </x:c>
      <x:c r="E71" s="451" t="str">
        <x:v>Mirror Week 4: Dowel, biscuit and Domino Joints. Research and select suitable timbers. Timber properties and suitable joinery
Bedside Table Week 4: On-guard Mortiser</x:v>
      </x:c>
      <x:c r="F71" s="451" t="str">
        <x:v>Mirror Week 4: Theory: Discussion: Refresh safety aspects for powertool use Suitability of dowel, biscuits and dominos Workbook/Folio: Joinery Research Practical: Demonstrate / Observe: The use of the dowel, biscuit and domino cutters | Resource: No resource location stated in source row.
Bedside Table Week 4: Theory: Discussion: Refresh safety aspects for Machine use Suitability of Mortise and Tenon Joints Workbook/Folio: Tools, machinery and their uses in making the bedside table Onguard - Mortiser Practical: Demonstrate / Observe: The use of the Mortise Machine | Resource: No resource location stated in source row.</x:v>
      </x:c>
      <x:c r="G71" s="451" t="str">
        <x:v>Mirror: Project Evidence row 9
Bedside Table: Project Evidence row 10</x:v>
      </x:c>
      <x:c r="H71" s="475" t="str">
        <x:v>Mapped</x:v>
      </x:c>
      <x:c r="I71" s="451" t="str">
        <x:v>stage_5_timber_2021-06-16.docx, table 36, row 4
stage_5_timber_2021-06-16.docx, table 42, row 4</x:v>
      </x:c>
      <x:c r="J71" s="452" t="str">
        <x:v>Not applicable</x:v>
      </x:c>
    </x:row>
    <x:row r="72" ht="140.39999389648438" hidden="0" customHeight="1">
      <x:c r="A72" s="466" t="str">
        <x:v>CP057</x:v>
      </x:c>
      <x:c r="B72" s="451" t="str">
        <x:v>identify and check for defects in solid timber and apply techniques to overcome defects in the production of practical projects</x:v>
      </x:c>
      <x:c r="C72" s="451" t="str">
        <x:v>straight grain for ease of planing
tight grain for improved surface finish when routing</x:v>
      </x:c>
      <x:c r="D72" s="451" t="str">
        <x:v>Mirror Week 4
Mirror Week 11
Mirror Week 12
Bedside Table Week 4</x:v>
      </x:c>
      <x:c r="E72" s="451" t="str">
        <x:v>Mirror Week 4: Dowel, biscuit and Domino Joints. Research and select suitable timbers. Timber properties and suitable joinery
Mirror Week 11: Assemble / Gluing. Seasoning Timber.
Mirror Week 12: Assemble / Gluing. Milling
Bedside Table Week 4: On-guard Mortiser</x:v>
      </x:c>
      <x:c r="F72" s="451" t="str">
        <x:v>Mirror Week 4: Theory: Discussion: Refresh safety aspects for powertool use Suitability of dowel, biscuits and dominos Workbook/Folio: Joinery Research Practical: Demonstrate / Observe: The use of the dowel, biscuit and domino cutters | Resource: No resource location stated in source row.
Mirror Week 11: Theory: Discussion: Gluing and clamping - assembly and clamping times Workbook/Folio: Seasoning Timber Practical: Demonstrate / Observe: Glueing and clamping processes | Resource: No resource location stated in source row.
Mirror Week 12: Theory: Discussion: Discuss the effects of plantation forests, carbon pollution and the effects on the earths atmosphere. Workbook/Folio: Milling Timber Practical: Demonstrate / Observe: Glueing and clamping processes | Resource: No resource location stated in source row.
Bedside Table Week 4: Theory: Discussion: Refresh safety aspects for Machine use Suitability of Mortise and Tenon Joints Workbook/Folio: Tools, machinery and their uses in making the bedside table Onguard - Mortiser Practical: Demonstrate / Observe: The use of the Mortise Machine | Resource: No resource location stated in source row.</x:v>
      </x:c>
      <x:c r="G72" s="451" t="str">
        <x:v>Mirror: Project Evidence row 9
Bedside Table: Project Evidence row 10</x:v>
      </x:c>
      <x:c r="H72" s="475" t="str">
        <x:v>Mapped</x:v>
      </x:c>
      <x:c r="I72" s="451" t="str">
        <x:v>stage_5_timber_2021-06-16.docx, table 36, row 4
stage_5_timber_2021-06-16.docx, table 36, row 11
stage_5_timber_2021-06-16.docx, table 36, row 12
stage_5_timber_2021-06-16.docx, table 42, row 4</x:v>
      </x:c>
      <x:c r="J72" s="452" t="str">
        <x:v>Not applicable</x:v>
      </x:c>
    </x:row>
    <x:row r="73" ht="32.400001525878906" hidden="0" customHeight="1">
      <x:c r="A73" s="466" t="str">
        <x:v>CP058</x:v>
      </x:c>
      <x:c r="B73" s="451" t="str">
        <x:v>compare the machining properties of solid timbers and timber products in relation to production, for example: (ACTDEK046)</x:v>
      </x:c>
      <x:c r="C73" s="451" t="str">
        <x:v>straight grain for ease of planing
tight grain for improved surface finish when routing</x:v>
      </x:c>
      <x:c r="D73" s="451" t="str">
        <x:v>Mirror Week 4</x:v>
      </x:c>
      <x:c r="E73" s="451" t="str">
        <x:v>Mirror Week 4: Dowel, biscuit and Domino Joints. Research and select suitable timbers. Timber properties and suitable joinery</x:v>
      </x:c>
      <x:c r="F73" s="451" t="str">
        <x:v>Mirror Week 4: Theory: Discussion: Refresh safety aspects for powertool use Suitability of dowel, biscuits and dominos Workbook/Folio: Joinery Research Practical: Demonstrate / Observe: The use of the dowel, biscuit and domino cutters | Resource: No resource location stated in source row.</x:v>
      </x:c>
      <x:c r="G73" s="451" t="str">
        <x:v>Mirror: Project Evidence row 9</x:v>
      </x:c>
      <x:c r="H73" s="475" t="str">
        <x:v>Mapped</x:v>
      </x:c>
      <x:c r="I73" s="451" t="str">
        <x:v>stage_5_timber_2021-06-16.docx, table 36, row 4</x:v>
      </x:c>
      <x:c r="J73" s="452" t="str">
        <x:v>Not applicable</x:v>
      </x:c>
    </x:row>
    <x:row r="74" ht="86.4000015258789" hidden="0" customHeight="1">
      <x:c r="A74" s="466" t="str">
        <x:v>CP059</x:v>
      </x:c>
      <x:c r="B74" s="451" t="str">
        <x:v>apply power and machine tools in the preparing, cutting, shaping and joining of construction of projects, for example:</x:v>
      </x:c>
      <x:c r="C74" s="451" t="str">
        <x:v>moulding an edge using a router</x:v>
      </x:c>
      <x:c r="D74" s="451" t="str">
        <x:v>Mirror Week 7
Bedside Table Week 7</x:v>
      </x:c>
      <x:c r="E74" s="451" t="str">
        <x:v>Mirror Week 7: On-guard SOP - Router. Timber Types and features.
Bedside Table Week 7: On-guard SOP - Thicknesser. Orthogonal Drawings</x:v>
      </x:c>
      <x:c r="F74" s="451" t="str">
        <x:v>Mirror Week 7: Theory: Discussion: Types of uses for the Router. Different profile cutters. Safety aspects and cutting direction Workbook/Folio: Research - Timber types and features Practical: Demonstrate / Observe: The use of the router for decorative edges and mirror rebate. | Resource: No resource location stated in source row.
Bedside Table Week 7: Theory: Discussion: The use of jigs to assist in machining processes Workbook/Folio: CAD orthogonal drawings of the bedside table On-guard - Thicknesser Practical: Demonstrate / Observe: The use of the 'leg jig' to assist with tapering | Resource: No resource location stated in source row.</x:v>
      </x:c>
      <x:c r="G74" s="451" t="str">
        <x:v>Mirror: Project Evidence row 9
Bedside Table: Project Evidence row 10</x:v>
      </x:c>
      <x:c r="H74" s="475" t="str">
        <x:v>Mapped</x:v>
      </x:c>
      <x:c r="I74" s="451" t="str">
        <x:v>stage_5_timber_2021-06-16.docx, table 36, row 7
stage_5_timber_2021-06-16.docx, table 42, row 7</x:v>
      </x:c>
      <x:c r="J74" s="452" t="str">
        <x:v>Not applicable</x:v>
      </x:c>
    </x:row>
    <x:row r="75" ht="86.4000015258789" hidden="0" customHeight="1">
      <x:c r="A75" s="466" t="str">
        <x:v>CP060</x:v>
      </x:c>
      <x:c r="B75" s="451" t="str">
        <x:v>prepare and use jigs and templates to assist in the construction and assembly of projects</x:v>
      </x:c>
      <x:c r="C75" s="451" t="str">
        <x:v>Not stated in source.</x:v>
      </x:c>
      <x:c r="D75" s="451" t="str">
        <x:v>Mirror Week 7
Bedside Table Week 7</x:v>
      </x:c>
      <x:c r="E75" s="451" t="str">
        <x:v>Mirror Week 7: On-guard SOP - Router. Timber Types and features.
Bedside Table Week 7: On-guard SOP - Thicknesser. Orthogonal Drawings</x:v>
      </x:c>
      <x:c r="F75" s="451" t="str">
        <x:v>Mirror Week 7: Theory: Discussion: Types of uses for the Router. Different profile cutters. Safety aspects and cutting direction Workbook/Folio: Research - Timber types and features Practical: Demonstrate / Observe: The use of the router for decorative edges and mirror rebate. | Resource: No resource location stated in source row.
Bedside Table Week 7: Theory: Discussion: The use of jigs to assist in machining processes Workbook/Folio: CAD orthogonal drawings of the bedside table On-guard - Thicknesser Practical: Demonstrate / Observe: The use of the 'leg jig' to assist with tapering | Resource: No resource location stated in source row.</x:v>
      </x:c>
      <x:c r="G75" s="451" t="str">
        <x:v>Mirror: Project Evidence row 9
Bedside Table: Project Evidence row 10</x:v>
      </x:c>
      <x:c r="H75" s="475" t="str">
        <x:v>Mapped</x:v>
      </x:c>
      <x:c r="I75" s="451" t="str">
        <x:v>stage_5_timber_2021-06-16.docx, table 36, row 7
stage_5_timber_2021-06-16.docx, table 42, row 7</x:v>
      </x:c>
      <x:c r="J75" s="452" t="str">
        <x:v>Not applicable</x:v>
      </x:c>
    </x:row>
    <x:row r="76" ht="194.39999389648438" hidden="0" customHeight="1">
      <x:c r="A76" s="466" t="str">
        <x:v>CP061</x:v>
      </x:c>
      <x:c r="B76" s="451" t="str">
        <x:v>select and apply a range of appropriate techniques to check projects for square, for example:</x:v>
      </x:c>
      <x:c r="C76" s="451" t="str">
        <x:v>measuring diagonals
using a builder's square</x:v>
      </x:c>
      <x:c r="D76" s="451" t="str">
        <x:v>Mirror Week 8
Mirror Week 11
Mirror Week 12
Bedside Table Week 8
Bedside Table Week 11
Bedside Table Week 12</x:v>
      </x:c>
      <x:c r="E76" s="451" t="str">
        <x:v>Mirror Week 8: Dry Clamping. Work Method Statements and SOP's.
Mirror Week 11: Assemble / Gluing. Seasoning Timber.
Mirror Week 12: Assemble / Gluing. Milling
Bedside Table Week 8: Dry Clamping. Work Method Statements and SOP's
Bedside Table Week 11: Assemble / Gluing. Costing
Bedside Table Week 12: Assemble / Gluing. Sequencing and Time planning</x:v>
      </x:c>
      <x:c r="F76" s="451" t="str">
        <x:v>Mirror Week 8: Theory: Discussion: The importance of dry clamping and checking for square Workbook/Folio: WMS for the mirror Practical: Demonstrate / Observe: Dry clamping and adjusting for square. | Resource: No resource location stated in source row.
Mirror Week 11: Theory: Discussion: Gluing and clamping - assembly and clamping times Workbook/Folio: Seasoning Timber Practical: Demonstrate / Observe: Glueing and clamping processes | Resource: No resource location stated in source row.
Mirror Week 12: Theory: Discussion: Discuss the effects of plantation forests, carbon pollution and the effects on the earths atmosphere. Workbook/Folio: Milling Timber Practical: Demonstrate / Observe: Glueing and clamping processes | Resource: No resource location stated in source row.
Bedside Table Week 8: Theory: Discussion: Refresh The importance of dry clamping and checking for square Workbook/Folio: WMS for the bedside table Practical: Demonstrate / Observe: Dry clamping and adjusting for square. | Resource: No resource location stated in source row.
Bedside Table Week 11: Theory: Discussion: Refresh Gluing and clamping - assembly and clamping times Workbook/Folio: Costing Exercise - Spreadsheet Practical: Demonstrate / Observe: Glueing and clamping processes | Resource: No resource location stated in source row.
Bedside Table Week 12: Discussion: Refresh Gluing and clamping - assembly and clamping times Workbook/Folio: Sequencing and time-planning exercise - Gantt Chart Practical: Demonstrate / Observe: Glueing and clamping processes | Resource: No resource location stated in source row.</x:v>
      </x:c>
      <x:c r="G76" s="451" t="str">
        <x:v>Mirror: Project Evidence row 9
Bedside Table: Project Evidence row 10</x:v>
      </x:c>
      <x:c r="H76" s="475" t="str">
        <x:v>Mapped</x:v>
      </x:c>
      <x:c r="I76" s="451" t="str">
        <x:v>stage_5_timber_2021-06-16.docx, table 36, row 8
stage_5_timber_2021-06-16.docx, table 36, row 11
stage_5_timber_2021-06-16.docx, table 36, row 12
stage_5_timber_2021-06-16.docx, table 42, row 8
stage_5_timber_2021-06-16.docx, table 42, row 11
stage_5_timber_2021-06-16.docx, table 42, row 12</x:v>
      </x:c>
      <x:c r="J76" s="452" t="str">
        <x:v>Not applicable</x:v>
      </x:c>
    </x:row>
    <x:row r="77" ht="64.80000305175781" hidden="0" customHeight="1">
      <x:c r="A77" s="466" t="str">
        <x:v>CP062</x:v>
      </x:c>
      <x:c r="B77" s="451" t="str">
        <x:v>produce annotated freehand sketches of project components and/or projects to visualise, communicate, understand and record ideas</x:v>
      </x:c>
      <x:c r="C77" s="451" t="str">
        <x:v>Not stated in source.</x:v>
      </x:c>
      <x:c r="D77" s="451" t="str">
        <x:v>Mirror Week 9
Mirror Week 10</x:v>
      </x:c>
      <x:c r="E77" s="451" t="str">
        <x:v>Mirror Week 9: Adding Design Features. Timber Conversion.
Mirror Week 10: Adding Design Features. Workshop Maintenence.</x:v>
      </x:c>
      <x:c r="F77" s="451" t="str">
        <x:v>Mirror Week 9: Theory: Discussion: Discuss factors that affect good design - form and function. Workbook/Folio: Spreadsheet costing exercise. Practical: Demonstrate / Observe: Design features. Suitability and techniques | Resource: No resource location stated in source row.
Mirror Week 10: Theory: Discussion: The importance of good workshop maintenance Practical: Demonstrate / Observe: Manual handling techniques | Resource: No resource location stated in source row.</x:v>
      </x:c>
      <x:c r="G77" s="451" t="str">
        <x:v>Mirror: Project Evidence row 9</x:v>
      </x:c>
      <x:c r="H77" s="475" t="str">
        <x:v>Mapped</x:v>
      </x:c>
      <x:c r="I77" s="451" t="str">
        <x:v>stage_5_timber_2021-06-16.docx, table 36, row 9
stage_5_timber_2021-06-16.docx, table 36, row 10</x:v>
      </x:c>
      <x:c r="J77" s="452" t="str">
        <x:v>Not applicable</x:v>
      </x:c>
    </x:row>
    <x:row r="78" ht="151.1999969482422" hidden="0" customHeight="1">
      <x:c r="A78" s="466" t="str">
        <x:v>CP063</x:v>
      </x:c>
      <x:c r="B78" s="451" t="str">
        <x:v>modify and/or apply workshop drawings in the completion of projects, for example:</x:v>
      </x:c>
      <x:c r="C78" s="451" t="str">
        <x:v>use CAD applications in the production of workshop drawings</x:v>
      </x:c>
      <x:c r="D78" s="451" t="str">
        <x:v>Mirror Week 9
Mirror Week 10
Bedside Table Week 9
Bedside Table Week 10</x:v>
      </x:c>
      <x:c r="E78" s="451" t="str">
        <x:v>Mirror Week 9: Adding Design Features. Timber Conversion.
Mirror Week 10: Adding Design Features. Workshop Maintenence.
Bedside Table Week 9: Adding Design Features. Orthogonal Drawings
Bedside Table Week 10: Adding Design Features. Orthogonal Drawings</x:v>
      </x:c>
      <x:c r="F78" s="451" t="str">
        <x:v>Mirror Week 9: Theory: Discussion: Discuss factors that affect good design - form and function. Workbook/Folio: Spreadsheet costing exercise. Practical: Demonstrate / Observe: Design features. Suitability and techniques | Resource: No resource location stated in source row.
Mirror Week 10: Theory: Discussion: The importance of good workshop maintenance Practical: Demonstrate / Observe: Manual handling techniques | Resource: No resource location stated in source row.
Bedside Table Week 9: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
Bedside Table Week 10: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x:v>
      </x:c>
      <x:c r="G78" s="451" t="str">
        <x:v>Mirror: Project Evidence row 9
Bedside Table: Project Evidence row 10</x:v>
      </x:c>
      <x:c r="H78" s="475" t="str">
        <x:v>Mapped</x:v>
      </x:c>
      <x:c r="I78" s="451" t="str">
        <x:v>stage_5_timber_2021-06-16.docx, table 36, row 9
stage_5_timber_2021-06-16.docx, table 36, row 10
stage_5_timber_2021-06-16.docx, table 42, row 9
stage_5_timber_2021-06-16.docx, table 42, row 10</x:v>
      </x:c>
      <x:c r="J78" s="452" t="str">
        <x:v>Not applicable</x:v>
      </x:c>
    </x:row>
    <x:row r="79" ht="32.400001525878906" hidden="0" customHeight="1">
      <x:c r="A79" s="466" t="str">
        <x:v>CP064</x:v>
      </x:c>
      <x:c r="B79" s="451" t="str">
        <x:v>select and apply a range of production and detailing techniques, for example:</x:v>
      </x:c>
      <x:c r="C79" s="451" t="str">
        <x:v>inlay
laser engraving</x:v>
      </x:c>
      <x:c r="D79" s="451" t="str">
        <x:v>Mirror Week 10</x:v>
      </x:c>
      <x:c r="E79" s="451" t="str">
        <x:v>Mirror Week 10: Adding Design Features. Workshop Maintenence.</x:v>
      </x:c>
      <x:c r="F79" s="451" t="str">
        <x:v>Mirror Week 10: Theory: Discussion: The importance of good workshop maintenance Practical: Demonstrate / Observe: Manual handling techniques | Resource: No resource location stated in source row.</x:v>
      </x:c>
      <x:c r="G79" s="451" t="str">
        <x:v>Mirror: Project Evidence row 9</x:v>
      </x:c>
      <x:c r="H79" s="475" t="str">
        <x:v>Mapped</x:v>
      </x:c>
      <x:c r="I79" s="451" t="str">
        <x:v>stage_5_timber_2021-06-16.docx, table 36, row 10</x:v>
      </x:c>
      <x:c r="J79" s="452" t="str">
        <x:v>Not applicable</x:v>
      </x:c>
    </x:row>
    <x:row r="80" ht="64.80000305175781" hidden="0" customHeight="1">
      <x:c r="A80" s="466" t="str">
        <x:v>CP065</x:v>
      </x:c>
      <x:c r="B80" s="451" t="str">
        <x:v>analyse the effects of incorrect seasoning and insect attack on properties and appearance of the timber</x:v>
      </x:c>
      <x:c r="C80" s="451" t="str">
        <x:v>Not stated in source.</x:v>
      </x:c>
      <x:c r="D80" s="451" t="str">
        <x:v>Mirror Week 11
Mirror Week 12</x:v>
      </x:c>
      <x:c r="E80" s="451" t="str">
        <x:v>Mirror Week 11: Assemble / Gluing. Seasoning Timber.
Mirror Week 12: Assemble / Gluing. Milling</x:v>
      </x:c>
      <x:c r="F80" s="451" t="str">
        <x:v>Mirror Week 11: Theory: Discussion: Gluing and clamping - assembly and clamping times Workbook/Folio: Seasoning Timber Practical: Demonstrate / Observe: Glueing and clamping processes | Resource: No resource location stated in source row.
Mirror Week 12: Theory: Discussion: Discuss the effects of plantation forests, carbon pollution and the effects on the earths atmosphere. Workbook/Folio: Milling Timber Practical: Demonstrate / Observe: Glueing and clamping processes | Resource: No resource location stated in source row.</x:v>
      </x:c>
      <x:c r="G80" s="451" t="str">
        <x:v>Mirror: Project Evidence row 9</x:v>
      </x:c>
      <x:c r="H80" s="475" t="str">
        <x:v>Mapped</x:v>
      </x:c>
      <x:c r="I80" s="451" t="str">
        <x:v>stage_5_timber_2021-06-16.docx, table 36, row 11
stage_5_timber_2021-06-16.docx, table 36, row 12</x:v>
      </x:c>
      <x:c r="J80" s="452" t="str">
        <x:v>Not applicable</x:v>
      </x:c>
    </x:row>
    <x:row r="81" ht="118.80000305175781" hidden="0" customHeight="1">
      <x:c r="A81" s="466" t="str">
        <x:v>CP066</x:v>
      </x:c>
      <x:c r="B81" s="451" t="str">
        <x:v>select and apply appropriate surface preparation methods and apply a variety of finishes</x:v>
      </x:c>
      <x:c r="C81" s="451" t="str">
        <x:v>Not stated in source.</x:v>
      </x:c>
      <x:c r="D81" s="451" t="str">
        <x:v>Mirror Week 13
Bedside Table Week 13
Bedside Table Week 14</x:v>
      </x:c>
      <x:c r="E81" s="451" t="str">
        <x:v>Mirror Week 13: Finishing Techniques. Environmental sustainability
Bedside Table Week 13: Finishing Techniques. Logging
Bedside Table Week 14: Finishing Techniques. Industry Visit / link</x:v>
      </x:c>
      <x:c r="F81" s="451" t="str">
        <x:v>Mirror Week 13: Theory: Discussion: Refresh Sanding and prep' techniques Different types of finishes Discuss deforestation and sustainable logging. Workbook/Folio: Environmental Sustainability Practical: Demonstrate / Observe: Preparing surfaces for finishing Apply finishes | Resource: No resource location stated in source row.
Bedside Table Week 13: Theory: Discussion: Refresh Sanding and prep' techniques Different types of finishes Workbook/Folio: Logging worksheet Practical: Demonstrate / Observe: Preparing surfaces for finishing Apply finishes | Resource: No resource location stated in source row.
Bedside Table Week 14: Theory: Discussion: Compare and contrast Industry techniques compared to school. - Joinery / Kitchen Cabinets Workbook/Folio: Industry Link worksheet Practical: Demonstrate / Observe: Preparing surfaces for finishing Apply finishes | Resource: No resource location stated in source row.</x:v>
      </x:c>
      <x:c r="G81" s="451" t="str">
        <x:v>Mirror: Project Evidence row 9
Bedside Table: Project Evidence row 10</x:v>
      </x:c>
      <x:c r="H81" s="475" t="str">
        <x:v>Mapped</x:v>
      </x:c>
      <x:c r="I81" s="451" t="str">
        <x:v>stage_5_timber_2021-06-16.docx, table 36, row 13
stage_5_timber_2021-06-16.docx, table 42, row 13
stage_5_timber_2021-06-16.docx, table 42, row 14</x:v>
      </x:c>
      <x:c r="J81" s="452" t="str">
        <x:v>Not applicable</x:v>
      </x:c>
    </x:row>
    <x:row r="82" ht="32.400001525878906" hidden="0" customHeight="1">
      <x:c r="A82" s="466" t="str">
        <x:v>CP067</x:v>
      </x:c>
      <x:c r="B82" s="451" t="str">
        <x:v>compare and contrast contemporary industrial manufacturing techniques, materials and equipment with classroom experiences</x:v>
      </x:c>
      <x:c r="C82" s="451" t="str">
        <x:v>Not stated in source.</x:v>
      </x:c>
      <x:c r="D82" s="451" t="str">
        <x:v>Mirror Week 14</x:v>
      </x:c>
      <x:c r="E82" s="451" t="str">
        <x:v>Mirror Week 14: Fitting Glass. Industry Visit / link</x:v>
      </x:c>
      <x:c r="F82" s="451" t="str">
        <x:v>Mirror Week 14: Theory: Discussion: Compare and contrast Industry techniques compared to school. Workbook/Folio: Industry Links worksheet Practical: Demonstrate / Observe: Cutting glass to suit. | Resource: No resource location stated in source row.</x:v>
      </x:c>
      <x:c r="G82" s="451" t="str">
        <x:v>Mirror: Project Evidence row 9</x:v>
      </x:c>
      <x:c r="H82" s="475" t="str">
        <x:v>Mapped</x:v>
      </x:c>
      <x:c r="I82" s="451" t="str">
        <x:v>stage_5_timber_2021-06-16.docx, table 36, row 14</x:v>
      </x:c>
      <x:c r="J82" s="452" t="str">
        <x:v>Not applicable</x:v>
      </x:c>
    </x:row>
    <x:row r="83" ht="108" hidden="0" customHeight="1">
      <x:c r="A83" s="466" t="str">
        <x:v>CP068</x:v>
      </x:c>
      <x:c r="B83" s="451" t="str">
        <x:v>research current techniques, materials and equipment used by industry to develop and produce timber products (ACTDEK047)</x:v>
      </x:c>
      <x:c r="C83" s="451" t="str">
        <x:v>Not stated in source.</x:v>
      </x:c>
      <x:c r="D83" s="451" t="str">
        <x:v>Mirror Week 14
Bedside Table Week 13
Bedside Table Week 14</x:v>
      </x:c>
      <x:c r="E83" s="451" t="str">
        <x:v>Mirror Week 14: Fitting Glass. Industry Visit / link
Bedside Table Week 13: Finishing Techniques. Logging
Bedside Table Week 14: Finishing Techniques. Industry Visit / link</x:v>
      </x:c>
      <x:c r="F83" s="451" t="str">
        <x:v>Mirror Week 14: Theory: Discussion: Compare and contrast Industry techniques compared to school. Workbook/Folio: Industry Links worksheet Practical: Demonstrate / Observe: Cutting glass to suit. | Resource: No resource location stated in source row.
Bedside Table Week 13: Theory: Discussion: Refresh Sanding and prep' techniques Different types of finishes Workbook/Folio: Logging worksheet Practical: Demonstrate / Observe: Preparing surfaces for finishing Apply finishes | Resource: No resource location stated in source row.
Bedside Table Week 14: Theory: Discussion: Compare and contrast Industry techniques compared to school. - Joinery / Kitchen Cabinets Workbook/Folio: Industry Link worksheet Practical: Demonstrate / Observe: Preparing surfaces for finishing Apply finishes | Resource: No resource location stated in source row.</x:v>
      </x:c>
      <x:c r="G83" s="451" t="str">
        <x:v>Mirror: Project Evidence row 9
Bedside Table: Project Evidence row 10</x:v>
      </x:c>
      <x:c r="H83" s="475" t="str">
        <x:v>Mapped</x:v>
      </x:c>
      <x:c r="I83" s="451" t="str">
        <x:v>stage_5_timber_2021-06-16.docx, table 36, row 14
stage_5_timber_2021-06-16.docx, table 42, row 13
stage_5_timber_2021-06-16.docx, table 42, row 14</x:v>
      </x:c>
      <x:c r="J83" s="452" t="str">
        <x:v>Not applicable</x:v>
      </x:c>
    </x:row>
    <x:row r="84" ht="32.400001525878906" hidden="0" customHeight="1">
      <x:c r="A84" s="466" t="str">
        <x:v>CP069</x:v>
      </x:c>
      <x:c r="B84" s="451" t="str">
        <x:v>describe the impact of new and emerging technologies on careers and professions in the timber industry</x:v>
      </x:c>
      <x:c r="C84" s="451" t="str">
        <x:v>Not stated in source.</x:v>
      </x:c>
      <x:c r="D84" s="451" t="str">
        <x:v>Mirror Week 14</x:v>
      </x:c>
      <x:c r="E84" s="451" t="str">
        <x:v>Mirror Week 14: Fitting Glass. Industry Visit / link</x:v>
      </x:c>
      <x:c r="F84" s="451" t="str">
        <x:v>Mirror Week 14: Theory: Discussion: Compare and contrast Industry techniques compared to school. Workbook/Folio: Industry Links worksheet Practical: Demonstrate / Observe: Cutting glass to suit. | Resource: No resource location stated in source row.</x:v>
      </x:c>
      <x:c r="G84" s="451" t="str">
        <x:v>Mirror: Project Evidence row 9</x:v>
      </x:c>
      <x:c r="H84" s="475" t="str">
        <x:v>Mapped</x:v>
      </x:c>
      <x:c r="I84" s="451" t="str">
        <x:v>stage_5_timber_2021-06-16.docx, table 36, row 14</x:v>
      </x:c>
      <x:c r="J84" s="452" t="str">
        <x:v>Not applicable</x:v>
      </x:c>
    </x:row>
    <x:row r="85" ht="32.400001525878906" hidden="0" customHeight="1">
      <x:c r="A85" s="466" t="str">
        <x:v>CP070</x:v>
      </x:c>
      <x:c r="B85" s="451" t="str">
        <x:v>compare and contrast careers and professions in the timber and related industries, for example:</x:v>
      </x:c>
      <x:c r="C85" s="451" t="str">
        <x:v>a kitchen manufacturer compared to a builder</x:v>
      </x:c>
      <x:c r="D85" s="451" t="str">
        <x:v>Mirror Week 14</x:v>
      </x:c>
      <x:c r="E85" s="451" t="str">
        <x:v>Mirror Week 14: Fitting Glass. Industry Visit / link</x:v>
      </x:c>
      <x:c r="F85" s="451" t="str">
        <x:v>Mirror Week 14: Theory: Discussion: Compare and contrast Industry techniques compared to school. Workbook/Folio: Industry Links worksheet Practical: Demonstrate / Observe: Cutting glass to suit. | Resource: No resource location stated in source row.</x:v>
      </x:c>
      <x:c r="G85" s="451" t="str">
        <x:v>Mirror: Project Evidence row 9</x:v>
      </x:c>
      <x:c r="H85" s="475" t="str">
        <x:v>Mapped</x:v>
      </x:c>
      <x:c r="I85" s="451" t="str">
        <x:v>stage_5_timber_2021-06-16.docx, table 36, row 14</x:v>
      </x:c>
      <x:c r="J85" s="452" t="str">
        <x:v>Not applicable</x:v>
      </x:c>
    </x:row>
    <x:row r="86" ht="64.80000305175781" hidden="0" customHeight="1">
      <x:c r="A86" s="466" t="str">
        <x:v>CP071</x:v>
      </x:c>
      <x:c r="B86" s="451" t="str">
        <x:v>explore the environmental effect from the production and use of manufactured boards</x:v>
      </x:c>
      <x:c r="C86" s="451" t="str">
        <x:v>Not stated in source.</x:v>
      </x:c>
      <x:c r="D86" s="451" t="str">
        <x:v>Mirror Week 15
Bedside Table Week 15</x:v>
      </x:c>
      <x:c r="E86" s="451" t="str">
        <x:v>Mirror Week 15: Safe handling of chemicals and MSDS
Bedside Table Week 15: Safe handling of chemicals and MSDS</x:v>
      </x:c>
      <x:c r="F86" s="451" t="str">
        <x:v>Mirror Week 15: Theory: Discussion: The importance of safe handling of chemicals and the use of MSDS's. Workbook/Folio: Reading MSDS's Practical: Demonstrate / Observe: Ongoing safe workshop procedures | Resource: No resource location stated in source row.
Bedside Table Week 15: Theory: Discussion: Refresh The importance of safe handling of chemicals and the use of MSDS's. Workbook/Folio: Reading MSDS's Practical: Demonstrate / Observe: Ongoing safe workshop procedures | Resource: No resource location stated in source row.</x:v>
      </x:c>
      <x:c r="G86" s="451" t="str">
        <x:v>Mirror: Project Evidence row 9
Bedside Table: Project Evidence row 10</x:v>
      </x:c>
      <x:c r="H86" s="475" t="str">
        <x:v>Mapped</x:v>
      </x:c>
      <x:c r="I86" s="451" t="str">
        <x:v>stage_5_timber_2021-06-16.docx, table 36, row 15
stage_5_timber_2021-06-16.docx, table 42, row 15</x:v>
      </x:c>
      <x:c r="J86" s="452" t="str">
        <x:v>Not applicable</x:v>
      </x:c>
    </x:row>
    <x:row r="87" ht="64.80000305175781" hidden="0" customHeight="1">
      <x:c r="A87" s="466" t="str">
        <x:v>CP072</x:v>
      </x:c>
      <x:c r="B87" s="451" t="str">
        <x:v>explain the environmental and societal impact of resources used in the development and production of projects</x:v>
      </x:c>
      <x:c r="C87" s="451" t="str">
        <x:v>Not stated in source.</x:v>
      </x:c>
      <x:c r="D87" s="451" t="str">
        <x:v>Mirror Week 15
Bedside Table Week 15</x:v>
      </x:c>
      <x:c r="E87" s="451" t="str">
        <x:v>Mirror Week 15: Safe handling of chemicals and MSDS
Bedside Table Week 15: Safe handling of chemicals and MSDS</x:v>
      </x:c>
      <x:c r="F87" s="451" t="str">
        <x:v>Mirror Week 15: Theory: Discussion: The importance of safe handling of chemicals and the use of MSDS's. Workbook/Folio: Reading MSDS's Practical: Demonstrate / Observe: Ongoing safe workshop procedures | Resource: No resource location stated in source row.
Bedside Table Week 15: Theory: Discussion: Refresh The importance of safe handling of chemicals and the use of MSDS's. Workbook/Folio: Reading MSDS's Practical: Demonstrate / Observe: Ongoing safe workshop procedures | Resource: No resource location stated in source row.</x:v>
      </x:c>
      <x:c r="G87" s="451" t="str">
        <x:v>Mirror: Project Evidence row 9
Bedside Table: Project Evidence row 10</x:v>
      </x:c>
      <x:c r="H87" s="475" t="str">
        <x:v>Mapped</x:v>
      </x:c>
      <x:c r="I87" s="451" t="str">
        <x:v>stage_5_timber_2021-06-16.docx, table 36, row 15
stage_5_timber_2021-06-16.docx, table 42, row 15</x:v>
      </x:c>
      <x:c r="J87" s="452" t="str">
        <x:v>Not applicable</x:v>
      </x:c>
    </x:row>
    <x:row r="88" ht="54" hidden="0" customHeight="1">
      <x:c r="A88" s="466" t="str">
        <x:v>CP073</x:v>
      </x:c>
      <x:c r="B88" s="451" t="str">
        <x:v>investigate the environmental implications of the use of old-growth timbers</x:v>
      </x:c>
      <x:c r="C88" s="451" t="str">
        <x:v>Not stated in source.</x:v>
      </x:c>
      <x:c r="D88" s="451" t="str">
        <x:v>Mirror Week 16
Bedside Table Week 16</x:v>
      </x:c>
      <x:c r="E88" s="451" t="str">
        <x:v>Mirror Week 16: Polishing. Sustainability
Bedside Table Week 16: Polishing. Sustainability and Environmental Impact</x:v>
      </x:c>
      <x:c r="F88" s="451" t="str">
        <x:v>Mirror Week 16: Theory: Discussion: The purposes of Timber polishes Practical: Demonstrate / Observe: Ongoing safe workshop procedures | Resource: No resource location stated in source row.
Bedside Table Week 16: Theory: Discussion: Refresh The purposes of timber polishes Practical: Demonstrate / Observe: Ongoing safe workshop procedures | Resource: No resource location stated in source row.</x:v>
      </x:c>
      <x:c r="G88" s="451" t="str">
        <x:v>Mirror: Project Evidence row 9
Bedside Table: Project Evidence row 10</x:v>
      </x:c>
      <x:c r="H88" s="475" t="str">
        <x:v>Mapped</x:v>
      </x:c>
      <x:c r="I88" s="451" t="str">
        <x:v>stage_5_timber_2021-06-16.docx, table 36, row 16
stage_5_timber_2021-06-16.docx, table 42, row 16</x:v>
      </x:c>
      <x:c r="J88" s="452" t="str">
        <x:v>Not applicable</x:v>
      </x:c>
    </x:row>
    <x:row r="89" ht="54" hidden="0" customHeight="1">
      <x:c r="A89" s="466" t="str">
        <x:v>CP074</x:v>
      </x:c>
      <x:c r="B89" s="451" t="str">
        <x:v>describe the effects of the timber and furnishing industries on society and the environment, for example:</x:v>
      </x:c>
      <x:c r="C89" s="451" t="str">
        <x:v>conserving historic furniture</x:v>
      </x:c>
      <x:c r="D89" s="451" t="str">
        <x:v>Mirror Week 16
Bedside Table Week 16</x:v>
      </x:c>
      <x:c r="E89" s="451" t="str">
        <x:v>Mirror Week 16: Polishing. Sustainability
Bedside Table Week 16: Polishing. Sustainability and Environmental Impact</x:v>
      </x:c>
      <x:c r="F89" s="451" t="str">
        <x:v>Mirror Week 16: Theory: Discussion: The purposes of Timber polishes Practical: Demonstrate / Observe: Ongoing safe workshop procedures | Resource: No resource location stated in source row.
Bedside Table Week 16: Theory: Discussion: Refresh The purposes of timber polishes Practical: Demonstrate / Observe: Ongoing safe workshop procedures | Resource: No resource location stated in source row.</x:v>
      </x:c>
      <x:c r="G89" s="451" t="str">
        <x:v>Mirror: Project Evidence row 9
Bedside Table: Project Evidence row 10</x:v>
      </x:c>
      <x:c r="H89" s="475" t="str">
        <x:v>Mapped</x:v>
      </x:c>
      <x:c r="I89" s="451" t="str">
        <x:v>stage_5_timber_2021-06-16.docx, table 36, row 16
stage_5_timber_2021-06-16.docx, table 42, row 16</x:v>
      </x:c>
      <x:c r="J89" s="452" t="str">
        <x:v>Not applicable</x:v>
      </x:c>
    </x:row>
    <x:row r="90" ht="43.20000076293945" hidden="0" customHeight="1">
      <x:c r="A90" s="466" t="str">
        <x:v>CP075</x:v>
      </x:c>
      <x:c r="B90" s="451" t="str">
        <x:v>recognise and comply with WHS signage</x:v>
      </x:c>
      <x:c r="C90" s="451" t="str">
        <x:v>Not stated in source.</x:v>
      </x:c>
      <x:c r="D90" s="451" t="str">
        <x:v>Mirror Week 18
Bedside Table Week 18</x:v>
      </x:c>
      <x:c r="E90" s="451" t="str">
        <x:v>Mirror Week 18: Class Test
Bedside Table Week 18: Class Test</x:v>
      </x:c>
      <x:c r="F90" s="451" t="str">
        <x:v>Mirror Week 18: Theory: Workbook/Folio: Class Test Practical: Demonstrate / Observe: Ongoing safe workshop procedures | Resource: No resource location stated in source row.
Bedside Table Week 18: Theory: Workbook/Folio: Class Test Practical: Demonstrate / Observe: Ongoing safe workshop procedures | Resource: No resource location stated in source row.</x:v>
      </x:c>
      <x:c r="G90" s="451" t="str">
        <x:v>Mirror: Project Evidence row 9
Bedside Table: Project Evidence row 10</x:v>
      </x:c>
      <x:c r="H90" s="475" t="str">
        <x:v>Mapped</x:v>
      </x:c>
      <x:c r="I90" s="451" t="str">
        <x:v>stage_5_timber_2021-06-16.docx, table 36, row 18
stage_5_timber_2021-06-16.docx, table 42, row 18</x:v>
      </x:c>
      <x:c r="J90" s="452" t="str">
        <x:v>Not applicable</x:v>
      </x:c>
    </x:row>
    <x:row r="91" ht="86.4000015258789" hidden="0" customHeight="1">
      <x:c r="A91" s="466" t="str">
        <x:v>CP076</x:v>
      </x:c>
      <x:c r="B91" s="451" t="str">
        <x:v>investigate methods of cutting veneers and their associated characteristics and properties</x:v>
      </x:c>
      <x:c r="C91" s="451" t="str">
        <x:v>Not stated in source.</x:v>
      </x:c>
      <x:c r="D91" s="451" t="str">
        <x:v>Bedside Table Week 9
Bedside Table Week 10</x:v>
      </x:c>
      <x:c r="E91" s="451" t="str">
        <x:v>Bedside Table Week 9: Adding Design Features. Orthogonal Drawings
Bedside Table Week 10: Adding Design Features. Orthogonal Drawings</x:v>
      </x:c>
      <x:c r="F91" s="451" t="str">
        <x:v>Bedside Table Week 9: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
Bedside Table Week 10: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x:v>
      </x:c>
      <x:c r="G91" s="451" t="str">
        <x:v>Bedside Table: Project Evidence row 10</x:v>
      </x:c>
      <x:c r="H91" s="475" t="str">
        <x:v>Mapped</x:v>
      </x:c>
      <x:c r="I91" s="451" t="str">
        <x:v>stage_5_timber_2021-06-16.docx, table 42, row 9
stage_5_timber_2021-06-16.docx, table 42, row 10</x:v>
      </x:c>
      <x:c r="J91" s="452" t="str">
        <x:v>Not applicable</x:v>
      </x:c>
    </x:row>
    <x:row r="92" ht="86.4000015258789" hidden="0" customHeight="1">
      <x:c r="A92" s="467" t="str">
        <x:v>CP077</x:v>
      </x:c>
      <x:c r="B92" s="454" t="str">
        <x:v>identify, select and use a range of cabinet fittings, hardware and allied materials in the production of projects, for example:</x:v>
      </x:c>
      <x:c r="C92" s="454" t="str">
        <x:v>hinges/handles on a cabinet
metal runners for smooth-running drawers</x:v>
      </x:c>
      <x:c r="D92" s="454" t="str">
        <x:v>Bedside Table Week 9
Bedside Table Week 10</x:v>
      </x:c>
      <x:c r="E92" s="454" t="str">
        <x:v>Bedside Table Week 9: Adding Design Features. Orthogonal Drawings
Bedside Table Week 10: Adding Design Features. Orthogonal Drawings</x:v>
      </x:c>
      <x:c r="F92" s="454" t="str">
        <x:v>Bedside Table Week 9: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
Bedside Table Week 10: Theory: Discussion: Refresh Discuss factors that affect good design - form and function. Workbook/Folio: Adding design features to CAD orthogonal drawings ie. Inlays, secret drawers, routered mouldings etc. Practical: Demonstrate / Observe: The use of hinges, handles, runners and other suitable hardware | Resource: No resource location stated in source row.</x:v>
      </x:c>
      <x:c r="G92" s="454" t="str">
        <x:v>Bedside Table: Project Evidence row 10</x:v>
      </x:c>
      <x:c r="H92" s="476" t="str">
        <x:v>Mapped</x:v>
      </x:c>
      <x:c r="I92" s="454" t="str">
        <x:v>stage_5_timber_2021-06-16.docx, table 42, row 9
stage_5_timber_2021-06-16.docx, table 42, row 10</x:v>
      </x:c>
      <x:c r="J92" s="455" t="str">
        <x:v>Not applicable</x:v>
      </x:c>
    </x:row>
  </x:sheetData>
  <x:mergeCells>
    <x:mergeCell ref="A1:J2"/>
    <x:mergeCell ref="A3:J4"/>
    <x:mergeCell ref="H6:J6"/>
    <x:mergeCell ref="H7:J12"/>
  </x:mergeCells>
  <x:pageMargins left="0.7" right="0.7" top="0.75" bottom="0.75" header="0.3" footer="0.3"/>
</x:worksheet>
</file>